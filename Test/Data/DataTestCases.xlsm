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Selenium\WorkSpace\PC\Data\"/>
    </mc:Choice>
  </mc:AlternateContent>
  <bookViews>
    <workbookView xWindow="120" yWindow="105" windowWidth="15135" windowHeight="4815" tabRatio="924" firstSheet="38" activeTab="43"/>
  </bookViews>
  <sheets>
    <sheet name="TestCase" sheetId="105" r:id="rId1"/>
    <sheet name="Login" sheetId="21" r:id="rId2"/>
    <sheet name="LogOut" sheetId="20" r:id="rId3"/>
    <sheet name="TestData" sheetId="95" r:id="rId4"/>
    <sheet name="EditAccount" sheetId="23" r:id="rId5"/>
    <sheet name="Contact" sheetId="106" r:id="rId6"/>
    <sheet name="SearchNewAccount" sheetId="80" r:id="rId7"/>
    <sheet name="CreateAccount" sheetId="3" r:id="rId8"/>
    <sheet name="SearchAccount" sheetId="18" r:id="rId9"/>
    <sheet name="SearchPolicy" sheetId="102" r:id="rId10"/>
    <sheet name="DriverInformation" sheetId="103" r:id="rId11"/>
    <sheet name="PolicySelection" sheetId="94" r:id="rId12"/>
    <sheet name="CommercialAuto" sheetId="100" r:id="rId13"/>
    <sheet name="ContactInformation" sheetId="99" r:id="rId14"/>
    <sheet name="WorkersCompensation" sheetId="96" r:id="rId15"/>
    <sheet name="AdditionalPolicy" sheetId="97" r:id="rId16"/>
    <sheet name="ProposalOptions" sheetId="98" r:id="rId17"/>
    <sheet name="CLAPolicyInfo" sheetId="84" r:id="rId18"/>
    <sheet name="CLAQuoteTransactions" sheetId="85" r:id="rId19"/>
    <sheet name="CLAQuotedForm" sheetId="86" r:id="rId20"/>
    <sheet name="CLAAMPBilling" sheetId="87" r:id="rId21"/>
    <sheet name="PolicyMove" sheetId="88" r:id="rId22"/>
    <sheet name="PolicyMoveVerification" sheetId="52" r:id="rId23"/>
    <sheet name="SearchActivites" sheetId="89" r:id="rId24"/>
    <sheet name="SearchTabAction" sheetId="101" r:id="rId25"/>
    <sheet name="AccountMerge" sheetId="45" r:id="rId26"/>
    <sheet name="AccountMergeVerification" sheetId="49" r:id="rId27"/>
    <sheet name="CreateActivity" sheetId="73" r:id="rId28"/>
    <sheet name="CreateAcitivityVerification" sheetId="72" r:id="rId29"/>
    <sheet name="ActivityPatternVerification" sheetId="71" r:id="rId30"/>
    <sheet name="ActivityPattern" sheetId="70" r:id="rId31"/>
    <sheet name="ManageActivity" sheetId="59" r:id="rId32"/>
    <sheet name="ManageAcitivityVerification" sheetId="60" r:id="rId33"/>
    <sheet name="AccountContact" sheetId="55" r:id="rId34"/>
    <sheet name="AccountContactVerification" sheetId="56" r:id="rId35"/>
    <sheet name="NewSubmission" sheetId="44" r:id="rId36"/>
    <sheet name="PolicyInfo" sheetId="36" r:id="rId37"/>
    <sheet name="Locations" sheetId="37" r:id="rId38"/>
    <sheet name="StateCoverage" sheetId="38" r:id="rId39"/>
    <sheet name="LineCoverage" sheetId="39" r:id="rId40"/>
    <sheet name="WCOptions" sheetId="40" r:id="rId41"/>
    <sheet name="RiskAnalysis" sheetId="41" r:id="rId42"/>
    <sheet name="PolicyReview" sheetId="42" r:id="rId43"/>
    <sheet name="Payment" sheetId="43" r:id="rId44"/>
    <sheet name="SearchPolicies" sheetId="61" r:id="rId45"/>
    <sheet name="SearchAccountNote" sheetId="62" r:id="rId46"/>
    <sheet name="CreateAccountNote" sheetId="63" r:id="rId47"/>
    <sheet name="DeleteAccountNote" sheetId="64" r:id="rId48"/>
    <sheet name="EditAccountNote" sheetId="65" r:id="rId49"/>
    <sheet name="SearchPolicyNote" sheetId="66" r:id="rId50"/>
    <sheet name="CreatePolicyNote" sheetId="67" r:id="rId51"/>
    <sheet name="DeletePolicyNote" sheetId="68" r:id="rId52"/>
    <sheet name="EditPolicyNote" sheetId="69" r:id="rId53"/>
    <sheet name="Output" sheetId="104" r:id="rId54"/>
  </sheets>
  <calcPr calcId="152511"/>
</workbook>
</file>

<file path=xl/calcChain.xml><?xml version="1.0" encoding="utf-8"?>
<calcChain xmlns="http://schemas.openxmlformats.org/spreadsheetml/2006/main">
  <c r="D77" i="18" l="1"/>
  <c r="D76" i="18"/>
  <c r="D74" i="18" l="1"/>
  <c r="D72" i="18" l="1"/>
  <c r="D73" i="18" s="1"/>
  <c r="D63" i="18" l="1"/>
  <c r="D62" i="18" l="1"/>
  <c r="D61" i="18" l="1"/>
  <c r="D60" i="18"/>
  <c r="D58" i="18"/>
  <c r="D57" i="18"/>
  <c r="D56" i="18"/>
  <c r="D55" i="18"/>
  <c r="D54" i="18"/>
  <c r="D53" i="18"/>
  <c r="Y3" i="101" l="1"/>
  <c r="S4" i="101"/>
  <c r="Y4" i="101"/>
  <c r="Y6" i="101"/>
  <c r="D38" i="18" l="1"/>
  <c r="D37" i="18"/>
  <c r="D36" i="18"/>
  <c r="D35" i="18"/>
  <c r="D34" i="18"/>
  <c r="D33" i="18"/>
  <c r="D32" i="18"/>
  <c r="D49" i="18" l="1"/>
  <c r="D48" i="18"/>
  <c r="D47" i="18"/>
  <c r="D46" i="18"/>
  <c r="D45" i="18"/>
  <c r="D44" i="18"/>
  <c r="D43" i="18"/>
  <c r="D42" i="18"/>
  <c r="D41" i="18"/>
  <c r="D40" i="18"/>
  <c r="Q7" i="62"/>
  <c r="F7" i="61"/>
  <c r="F6" i="61"/>
  <c r="F5" i="61"/>
  <c r="F4" i="61"/>
  <c r="F3" i="61"/>
  <c r="AL8" i="89" l="1"/>
  <c r="Q8" i="89"/>
  <c r="I12" i="88" l="1"/>
  <c r="K13" i="45"/>
  <c r="O6" i="88" l="1"/>
  <c r="O5" i="88"/>
  <c r="N5" i="88"/>
  <c r="L6" i="88"/>
  <c r="I6" i="88"/>
  <c r="L5" i="88" l="1"/>
  <c r="I5" i="88"/>
  <c r="Q11" i="89" l="1"/>
  <c r="Q27" i="89" l="1"/>
  <c r="Q26" i="89"/>
  <c r="Q24" i="89"/>
  <c r="Q25" i="89" l="1"/>
  <c r="Q12" i="89" l="1"/>
  <c r="Q18" i="89" l="1"/>
  <c r="AL16" i="89" l="1"/>
  <c r="Q16" i="89"/>
  <c r="Q10" i="89" l="1"/>
  <c r="AL10" i="89" l="1"/>
  <c r="I11" i="88" l="1"/>
  <c r="I10" i="88"/>
  <c r="I9" i="88"/>
  <c r="L11" i="88"/>
  <c r="L10" i="88"/>
  <c r="O9" i="88"/>
  <c r="S3" i="52" l="1"/>
  <c r="D22" i="18" l="1"/>
  <c r="D11" i="18" l="1"/>
  <c r="D12" i="18"/>
  <c r="D13" i="18"/>
  <c r="D14" i="18"/>
  <c r="D15" i="18"/>
  <c r="D16" i="18"/>
  <c r="D17" i="18"/>
  <c r="D18" i="18"/>
  <c r="D19" i="18"/>
  <c r="D29" i="18" l="1"/>
  <c r="D28" i="18"/>
  <c r="D27" i="18"/>
  <c r="D26" i="18"/>
  <c r="D24" i="18"/>
  <c r="D23" i="18"/>
  <c r="G4" i="49" l="1"/>
  <c r="R9" i="45"/>
  <c r="K17" i="45" l="1"/>
  <c r="K16" i="45"/>
  <c r="K14" i="45"/>
  <c r="K12" i="45"/>
  <c r="K11" i="45"/>
  <c r="K9" i="45"/>
  <c r="L9" i="56" l="1"/>
  <c r="D64" i="18" l="1"/>
  <c r="D65" i="18" l="1"/>
  <c r="D59" i="18" l="1"/>
</calcChain>
</file>

<file path=xl/sharedStrings.xml><?xml version="1.0" encoding="utf-8"?>
<sst xmlns="http://schemas.openxmlformats.org/spreadsheetml/2006/main" count="5945" uniqueCount="1205">
  <si>
    <t>ID</t>
  </si>
  <si>
    <t>TC1</t>
  </si>
  <si>
    <t>TC2</t>
  </si>
  <si>
    <t>YES</t>
  </si>
  <si>
    <t>TestCaseName</t>
  </si>
  <si>
    <t>TestCaseID</t>
  </si>
  <si>
    <t>TestSetID</t>
  </si>
  <si>
    <t>Execution</t>
  </si>
  <si>
    <t>Status</t>
  </si>
  <si>
    <t>SearchNewAccount</t>
  </si>
  <si>
    <t>NewSubmission</t>
  </si>
  <si>
    <t>PolicyInfo</t>
  </si>
  <si>
    <t>Locations</t>
  </si>
  <si>
    <t>WCOptions</t>
  </si>
  <si>
    <t>RiskAnalysis</t>
  </si>
  <si>
    <t>CreateAccount</t>
  </si>
  <si>
    <t>TC3</t>
  </si>
  <si>
    <t>LogOut</t>
  </si>
  <si>
    <t>CreatePolicy</t>
  </si>
  <si>
    <t>CreateAccountPolicy</t>
  </si>
  <si>
    <t>Iteration</t>
  </si>
  <si>
    <t>edtUserName</t>
  </si>
  <si>
    <t>btnLogin</t>
  </si>
  <si>
    <t>gw</t>
  </si>
  <si>
    <t>edtCompanyName</t>
  </si>
  <si>
    <t>eleDeskTopAction</t>
  </si>
  <si>
    <t>eleDeskTopNewAccount</t>
  </si>
  <si>
    <t>eleAccountInfoSearch</t>
  </si>
  <si>
    <t>eleAccountInfoCreateNewAccount</t>
  </si>
  <si>
    <t>eleCreateNewAccountForPerson</t>
  </si>
  <si>
    <t>elePreferences</t>
  </si>
  <si>
    <t>eleLogOut</t>
  </si>
  <si>
    <t>Manchester</t>
  </si>
  <si>
    <t>Connecticut</t>
  </si>
  <si>
    <t>06040</t>
  </si>
  <si>
    <t>LLC</t>
  </si>
  <si>
    <t>SearchAccount</t>
  </si>
  <si>
    <t>eleOrgResSearch</t>
  </si>
  <si>
    <t>eleOrgSearchResults</t>
  </si>
  <si>
    <t>lstProducerCode</t>
  </si>
  <si>
    <t>eleUpdate</t>
  </si>
  <si>
    <t>edtFirstName</t>
  </si>
  <si>
    <t>edtLastName</t>
  </si>
  <si>
    <t>edtAddress1</t>
  </si>
  <si>
    <t>lstState</t>
  </si>
  <si>
    <t>lstAddressType</t>
  </si>
  <si>
    <t>lstOrgType</t>
  </si>
  <si>
    <t>eleOrgSearch</t>
  </si>
  <si>
    <t>AccountNumber</t>
  </si>
  <si>
    <t>melAccount</t>
  </si>
  <si>
    <t>edtaccountNumber</t>
  </si>
  <si>
    <t>edtOrganizationName</t>
  </si>
  <si>
    <t>eleNext</t>
  </si>
  <si>
    <t>elePISaveDraft</t>
  </si>
  <si>
    <t>eleLocSaveDraft</t>
  </si>
  <si>
    <t>eleWCSaveDraft</t>
  </si>
  <si>
    <t>eleAddClass</t>
  </si>
  <si>
    <t>eleWCOptSaveDraft</t>
  </si>
  <si>
    <t>eleWCOpt</t>
  </si>
  <si>
    <t>Iterations</t>
  </si>
  <si>
    <t>eleRASaveDraft</t>
  </si>
  <si>
    <t>eleDetails</t>
  </si>
  <si>
    <t>eleAlertPopUp</t>
  </si>
  <si>
    <t>eleIssuePolicy</t>
  </si>
  <si>
    <t>eleBindOption</t>
  </si>
  <si>
    <t>elePRQuote</t>
  </si>
  <si>
    <t>Direct Bill</t>
  </si>
  <si>
    <t>elePayIssuePolicy</t>
  </si>
  <si>
    <t>elePayBindOption</t>
  </si>
  <si>
    <t>lstBillingMethod</t>
  </si>
  <si>
    <t>elePaymentPage</t>
  </si>
  <si>
    <t>lstProduverCodeList</t>
  </si>
  <si>
    <t>eleSearchResult</t>
  </si>
  <si>
    <t>eleSearchButton</t>
  </si>
  <si>
    <t>edtOrganisationName</t>
  </si>
  <si>
    <t>eleOrganisationSearch</t>
  </si>
  <si>
    <t>eleNewSubmission</t>
  </si>
  <si>
    <t>eleActions</t>
  </si>
  <si>
    <t>SampleData003</t>
  </si>
  <si>
    <t>funPolicyNumber</t>
  </si>
  <si>
    <t>edtFEIN</t>
  </si>
  <si>
    <t>eleIndustryCodeSearch</t>
  </si>
  <si>
    <t>edtIndustryCode</t>
  </si>
  <si>
    <t>0740</t>
  </si>
  <si>
    <t>btnSearchButton</t>
  </si>
  <si>
    <t>eleSelectCode</t>
  </si>
  <si>
    <t>funApproveCount</t>
  </si>
  <si>
    <t>PolicyNumber</t>
  </si>
  <si>
    <t>funSubmissionNumber</t>
  </si>
  <si>
    <t>SubmissionNumber</t>
  </si>
  <si>
    <t>TC112</t>
  </si>
  <si>
    <t>TC113</t>
  </si>
  <si>
    <t>edtIndusCode</t>
  </si>
  <si>
    <t>NO</t>
  </si>
  <si>
    <t>eleZipCode</t>
  </si>
  <si>
    <t>eleCity</t>
  </si>
  <si>
    <t>Mccaw Insurance Agency</t>
  </si>
  <si>
    <t>eleStandardise</t>
  </si>
  <si>
    <t>eleNew</t>
  </si>
  <si>
    <t>lstSegment</t>
  </si>
  <si>
    <t>Select Customer</t>
  </si>
  <si>
    <t>edtNAICS</t>
  </si>
  <si>
    <t>edtMSI</t>
  </si>
  <si>
    <t>edtEBS</t>
  </si>
  <si>
    <t>119</t>
  </si>
  <si>
    <t>2000</t>
  </si>
  <si>
    <t>lstOrganisationType</t>
  </si>
  <si>
    <t>lstProductType</t>
  </si>
  <si>
    <t>lstSubmissionSource</t>
  </si>
  <si>
    <t>Corporation</t>
  </si>
  <si>
    <t>Non Par - WE</t>
  </si>
  <si>
    <t>E-mail</t>
  </si>
  <si>
    <t>lstUWCompanies</t>
  </si>
  <si>
    <t>1 - The Hartford Fire Insurance Company</t>
  </si>
  <si>
    <t>eleRAQuote</t>
  </si>
  <si>
    <t>lstBillingNumber</t>
  </si>
  <si>
    <t>Enter</t>
  </si>
  <si>
    <t>edtBillingNumber</t>
  </si>
  <si>
    <t>btnAccountSearch</t>
  </si>
  <si>
    <t>lstPay</t>
  </si>
  <si>
    <t>Full Pay (100%Down)</t>
  </si>
  <si>
    <t>edtNPNNum</t>
  </si>
  <si>
    <t>8976543</t>
  </si>
  <si>
    <t>eleUWInfo</t>
  </si>
  <si>
    <t>lstBestIndex</t>
  </si>
  <si>
    <t>02</t>
  </si>
  <si>
    <t>sclQuote</t>
  </si>
  <si>
    <t>TC4</t>
  </si>
  <si>
    <t>StateCoverage</t>
  </si>
  <si>
    <t>LineCoverage</t>
  </si>
  <si>
    <t>PolicyReview</t>
  </si>
  <si>
    <t>Payment</t>
  </si>
  <si>
    <t>eleAccMerge</t>
  </si>
  <si>
    <t>eleSelect</t>
  </si>
  <si>
    <t>eleMerge</t>
  </si>
  <si>
    <t>AccountMerge</t>
  </si>
  <si>
    <t>TC6</t>
  </si>
  <si>
    <t>edtEffDate</t>
  </si>
  <si>
    <t>lstBusinessGroup</t>
  </si>
  <si>
    <t>Small Commercial</t>
  </si>
  <si>
    <t>lstSalesAgreementCode</t>
  </si>
  <si>
    <t>Company Sale</t>
  </si>
  <si>
    <t>123456789012345</t>
  </si>
  <si>
    <t>eleMVSearch</t>
  </si>
  <si>
    <t>edtSourceAccount</t>
  </si>
  <si>
    <t>funVerifyAccMerge</t>
  </si>
  <si>
    <t>TC5</t>
  </si>
  <si>
    <t>AccountMergewithPermission</t>
  </si>
  <si>
    <t>AccountMergewithoutPermision</t>
  </si>
  <si>
    <t>AccountMergeCancel</t>
  </si>
  <si>
    <t>eleMergeCancel</t>
  </si>
  <si>
    <t>TC7</t>
  </si>
  <si>
    <t>SourceAccountNotExist</t>
  </si>
  <si>
    <t>SearchSourceAccountbyGivingtheTargetNum</t>
  </si>
  <si>
    <t>TC8</t>
  </si>
  <si>
    <t>TC9</t>
  </si>
  <si>
    <t>funVerifySearchResults</t>
  </si>
  <si>
    <t>edtAccNum</t>
  </si>
  <si>
    <t>edtMergeCompanyName</t>
  </si>
  <si>
    <t>Merge Validation:::Account Merge is complete. Please review and update AIF in other systems as needed.</t>
  </si>
  <si>
    <t>cpg7038</t>
  </si>
  <si>
    <t>AccountMergewithoutPermission</t>
  </si>
  <si>
    <t>AccountMergeCancel:::Company Name</t>
  </si>
  <si>
    <t>SourceAccountNotExist:::The search returned zero results.</t>
  </si>
  <si>
    <t>TargetAccountNotExist</t>
  </si>
  <si>
    <t>VerifySearchFunctionalityValidation</t>
  </si>
  <si>
    <t>CheckingMinFieldValidation:::Please enter one of the minimum required fields: Company Name, Phone, FEIN, Alliance Member, AIF Number, Account Number</t>
  </si>
  <si>
    <t>CHECKINGRESET</t>
  </si>
  <si>
    <t>btnResetbtn</t>
  </si>
  <si>
    <t>Checkingatthreechar:::aaAt least three characters are required when Company Name is not an exact match</t>
  </si>
  <si>
    <t>aa</t>
  </si>
  <si>
    <t>*</t>
  </si>
  <si>
    <t>eleCompMatch</t>
  </si>
  <si>
    <t>CheckingExactMatchWithCheck:::* Wildcard (*) can not be used when Company Name is an exact match</t>
  </si>
  <si>
    <t>edtAllianceNum</t>
  </si>
  <si>
    <t>123456789</t>
  </si>
  <si>
    <t>edtAIFNum</t>
  </si>
  <si>
    <t>aaaa</t>
  </si>
  <si>
    <t>TC10</t>
  </si>
  <si>
    <t>VerifyRoleforMergedAccount</t>
  </si>
  <si>
    <t>eleContacts</t>
  </si>
  <si>
    <t>eleRole</t>
  </si>
  <si>
    <t>eleMAHTable1</t>
  </si>
  <si>
    <t>VERIFYMAHNEWROLE:::Merged Account Holder</t>
  </si>
  <si>
    <t>VERIFYNEWROLEACTIVE:::No</t>
  </si>
  <si>
    <t>edtFEINNum</t>
  </si>
  <si>
    <t>246 Buckland Hills Drive</t>
  </si>
  <si>
    <t>eleEdtButton</t>
  </si>
  <si>
    <t>edtMerAIFNum</t>
  </si>
  <si>
    <t>edtMerFEIN</t>
  </si>
  <si>
    <t>edtMerExperian</t>
  </si>
  <si>
    <t>75-1330802</t>
  </si>
  <si>
    <t>edtMerAllianceNum</t>
  </si>
  <si>
    <t>btnUpdate</t>
  </si>
  <si>
    <t>TC11</t>
  </si>
  <si>
    <t>VerifyFIENAIFALLDetails</t>
  </si>
  <si>
    <t>eleEditUpdate</t>
  </si>
  <si>
    <t>VERIFYAIFFEINALLIACENUM:::1234567890:::123456789:::75-1330802</t>
  </si>
  <si>
    <t>VERIFYAIFMSG:::Account Merge is complete. Please review and update AIF in other systems as needed.</t>
  </si>
  <si>
    <t>melSearch</t>
  </si>
  <si>
    <t>eleSearchAccount</t>
  </si>
  <si>
    <t>VerifySourceAccExistorNot:::The search returned zero results.</t>
  </si>
  <si>
    <t>State Act:::1: 246 BUCKLAND HILLS DR, MANCHESTER, CT:::2802:::1234</t>
  </si>
  <si>
    <t>elePolicyMove</t>
  </si>
  <si>
    <t>TC12</t>
  </si>
  <si>
    <t>PolicyMovewithPermission</t>
  </si>
  <si>
    <t>funPolicyMoveVerification</t>
  </si>
  <si>
    <t>PolicyMove</t>
  </si>
  <si>
    <t>funPolicyMoveVerify</t>
  </si>
  <si>
    <t>funSelectMovePolicies</t>
  </si>
  <si>
    <t>btnMergePolicy</t>
  </si>
  <si>
    <t>TC13</t>
  </si>
  <si>
    <t>funCheckMultiplePolicyCheck</t>
  </si>
  <si>
    <t>TC14</t>
  </si>
  <si>
    <t>PolicyMoveWithOutPermission</t>
  </si>
  <si>
    <t>POLICYMOVEVWITHOUTPERMISSION</t>
  </si>
  <si>
    <t>TC15</t>
  </si>
  <si>
    <t>PolicyMoveSourceTargetAccountNotExist</t>
  </si>
  <si>
    <t>SOURCEACCOUNTNOTEXIST:::The search returned zero results.</t>
  </si>
  <si>
    <t>TC16</t>
  </si>
  <si>
    <t>PolicyMoveMessageValidations</t>
  </si>
  <si>
    <t>PolicyMoveVerification</t>
  </si>
  <si>
    <t>TC17</t>
  </si>
  <si>
    <t>elePolicyMoveCancel</t>
  </si>
  <si>
    <t>PolicyMoveCancelVerification</t>
  </si>
  <si>
    <t>POLICYMOVECANCEL:::Search for an Account to move policies from</t>
  </si>
  <si>
    <t>TC18</t>
  </si>
  <si>
    <t>PolicyMoveAccMergeCancelVerification</t>
  </si>
  <si>
    <t>ACCOUNTMERGEPOPUPCANCEL</t>
  </si>
  <si>
    <t>eleMergeAccounts</t>
  </si>
  <si>
    <t>CHECKINGMINFIELDVALIDATION:::Please enter one of the minimum required fields: Company Name, Phone, FEIN, Alliance Member, AIF Number, Account Number</t>
  </si>
  <si>
    <t>AA</t>
  </si>
  <si>
    <t>Checkingatthreechar:::AA</t>
  </si>
  <si>
    <t>CHECKINGEXACTMATCHWITHCHECK:::*</t>
  </si>
  <si>
    <t>VERIFALLIANCEMESSAGE:::123456</t>
  </si>
  <si>
    <t>VERIFAIFNUMBER:::12345678</t>
  </si>
  <si>
    <t>VERIFYACCNUMMESSAGE:::1234567890</t>
  </si>
  <si>
    <t>VERIFYFEINNUMMESSAGE:::FEIN must be a nine-digit number, with an hyphen after the first two numbers</t>
  </si>
  <si>
    <t>VERIFYEXPERIANNUMMESSAGE:::Experian Key must be a 9 or 13 digit number</t>
  </si>
  <si>
    <t>PolicyMovewithPermissionMultiplePoliciesAccountMerge</t>
  </si>
  <si>
    <t>TC19</t>
  </si>
  <si>
    <t>eleCreateNewContact</t>
  </si>
  <si>
    <t>elePrimaryContact</t>
  </si>
  <si>
    <t>edtFName</t>
  </si>
  <si>
    <t>edtLName</t>
  </si>
  <si>
    <t>EditAccount</t>
  </si>
  <si>
    <t>eleContactUpdate</t>
  </si>
  <si>
    <t>TC20</t>
  </si>
  <si>
    <t>eleSecondaryContact</t>
  </si>
  <si>
    <t>eleSecondaryNewPerson</t>
  </si>
  <si>
    <t>elePrimaryNewPerson</t>
  </si>
  <si>
    <t>0570356614</t>
  </si>
  <si>
    <t>(Src Acc Name):::Merge Account Holder:::No:::(Tgt Acc Primary Contact Name):::Primary Contact:::(Source Acc Primary Contact Name):::(Src Additional contact name):::Secoundary Contact:::Yes</t>
  </si>
  <si>
    <t>AccountContactDetails</t>
  </si>
  <si>
    <t>AccountContact</t>
  </si>
  <si>
    <t>funVerifyResults</t>
  </si>
  <si>
    <t>SrcPrimary</t>
  </si>
  <si>
    <t>Contact</t>
  </si>
  <si>
    <t>SrcAdditional</t>
  </si>
  <si>
    <t>TgtPrimary</t>
  </si>
  <si>
    <t>TgtAdditional</t>
  </si>
  <si>
    <t>CHECKINGALLINUM:::123456 must be 7 to 9 digit number</t>
  </si>
  <si>
    <t>CHECKINGAIFNUM:::123456789 must be 10 digit number</t>
  </si>
  <si>
    <t>CHECKINGACCOUNTNUM:::1234567890 must enter 15 digit number</t>
  </si>
  <si>
    <t>CHECKINGFEINNUM:::FEIN must be a nine-digit number, with a hyphen after the first two numbers</t>
  </si>
  <si>
    <t>CHECKINGEXPERIANKEY:::Experian Key must be a 9 or 13 digit number</t>
  </si>
  <si>
    <t>147021442938784</t>
  </si>
  <si>
    <t>eleAccountDetailTab</t>
  </si>
  <si>
    <t>pwdPassword</t>
  </si>
  <si>
    <t>funWaitPageCheck</t>
  </si>
  <si>
    <t>TC21</t>
  </si>
  <si>
    <t>AccountContactCreateNewAccount</t>
  </si>
  <si>
    <t>eleCreateNewAccountforCompany</t>
  </si>
  <si>
    <t>eleRoleTab</t>
  </si>
  <si>
    <t>ADDINGNEWCONTACT</t>
  </si>
  <si>
    <t>edtBillingContactName</t>
  </si>
  <si>
    <t>Additional Contact</t>
  </si>
  <si>
    <t>VERIFYADDITIONALACCOUNTEXIST:::Additional Contact</t>
  </si>
  <si>
    <t>AccountContactVerification</t>
  </si>
  <si>
    <t>eleRemoveContact</t>
  </si>
  <si>
    <t>VERIFYACCOUNTSTATUS:::Additional Contact:::No</t>
  </si>
  <si>
    <t>eleChangeStatus</t>
  </si>
  <si>
    <t>funAccountStatusChangeAndRemove</t>
  </si>
  <si>
    <t>VERIFYACCOUNTREMOVED:::AdditionalContact</t>
  </si>
  <si>
    <t>TC22</t>
  </si>
  <si>
    <t>edtContactName</t>
  </si>
  <si>
    <t>eleAccountFileContactUpdate</t>
  </si>
  <si>
    <t>eleAccountFileContactRoleTab</t>
  </si>
  <si>
    <t>eleAddRole</t>
  </si>
  <si>
    <t>eleAddRoleBC</t>
  </si>
  <si>
    <t>AccountEditUpdteAddRole</t>
  </si>
  <si>
    <t>AccountContactRemoveRole</t>
  </si>
  <si>
    <t>TC23</t>
  </si>
  <si>
    <t>eleAddressTab</t>
  </si>
  <si>
    <t>TC24</t>
  </si>
  <si>
    <t>eleAddAddress</t>
  </si>
  <si>
    <t>lstAddZipCode</t>
  </si>
  <si>
    <t>eleAddStandardize</t>
  </si>
  <si>
    <t>eleAddOK</t>
  </si>
  <si>
    <t>243 Buckland Hills Drive</t>
  </si>
  <si>
    <t>Login</t>
  </si>
  <si>
    <t>edtAddAddress1</t>
  </si>
  <si>
    <t>funAccountFileEditTable</t>
  </si>
  <si>
    <t>funSetContactAsPrimary</t>
  </si>
  <si>
    <t>243 BUCKLAND HILLS DR, MANCHESTER, CT 06042</t>
  </si>
  <si>
    <t>TC25</t>
  </si>
  <si>
    <t>AccountAddNewAddressSetPrimary</t>
  </si>
  <si>
    <t>AccountValidateNewAddress</t>
  </si>
  <si>
    <t>VERIFYADDRESSES:::246:::246 BUCKLAND HILLS DR
MANCHESTER, CT 06042-8700:::Mailing</t>
  </si>
  <si>
    <t>VERIFYADDRESSES:::243:::243 BUCKLAND HILLS DR
MANCHESTER, CT 06042-8701:::Mailing</t>
  </si>
  <si>
    <t>eleAdrressesTab</t>
  </si>
  <si>
    <t>TC26</t>
  </si>
  <si>
    <t>eleAssociatedPoliceis</t>
  </si>
  <si>
    <t>AccountValidateListofPoliciesWithSummary</t>
  </si>
  <si>
    <t>CHECKINGALLINUM:::Alliance Number must be 7 to 9 digit number</t>
  </si>
  <si>
    <t>CHECKINGAIFNUM:::AIF Number must be 10 digit number</t>
  </si>
  <si>
    <t>CHECKINGACCOUNTNUM:::Account Number must enter 15 digit number</t>
  </si>
  <si>
    <t>CHECKINGFEINNUM:::FEIN must be a nine-digit number, with an hyphen after the first two numbers</t>
  </si>
  <si>
    <t>VERIFALLIANCEMESSAGE:::Alliance Number must be 7 to 9 digit number</t>
  </si>
  <si>
    <t>VERIFAIFNUMBER:::AIF Number must be 10 digit number</t>
  </si>
  <si>
    <t>VERIFYACCNUMMESSAGE:::Account Number must enter 15 digit number</t>
  </si>
  <si>
    <t>TC27</t>
  </si>
  <si>
    <t>eleNewActivity</t>
  </si>
  <si>
    <t>eleReminder</t>
  </si>
  <si>
    <t>eleFollowUp</t>
  </si>
  <si>
    <t>ManageActivity</t>
  </si>
  <si>
    <t>eleActivityOK</t>
  </si>
  <si>
    <t>lstTopic</t>
  </si>
  <si>
    <t>General</t>
  </si>
  <si>
    <t>edtText</t>
  </si>
  <si>
    <t>Automation</t>
  </si>
  <si>
    <t>funActivityResults</t>
  </si>
  <si>
    <t>VerifyActivityList:::Follow up</t>
  </si>
  <si>
    <t>TC4_1</t>
  </si>
  <si>
    <t xml:space="preserve">CreateAccountforAccountMergeSourceAcc </t>
  </si>
  <si>
    <t>TC4_2</t>
  </si>
  <si>
    <t xml:space="preserve">CreateAccountforAccountMergeTargetAcc </t>
  </si>
  <si>
    <t>TC11_1</t>
  </si>
  <si>
    <t>TC11_2</t>
  </si>
  <si>
    <t>TC19_1</t>
  </si>
  <si>
    <t>TC19_2</t>
  </si>
  <si>
    <t>CreateAccountforSrc Account</t>
  </si>
  <si>
    <t>CreateAccountforTgtAccount</t>
  </si>
  <si>
    <t>AccountMergeSrcRole</t>
  </si>
  <si>
    <t>AccountMergTgtRole</t>
  </si>
  <si>
    <t>VERIFYROLEANDPRIMARYCONTACT:::AccountMergeSrcRole:::Merged Account Holder:::No:::TgtPrimary Contact:::Primary Contact:::SrcPrimary Contact:::SrcAdditional Contact:::Secondary Contact:::Yes</t>
  </si>
  <si>
    <t>TC12_1</t>
  </si>
  <si>
    <t>TC12_2</t>
  </si>
  <si>
    <t>CreateAccountPolicyforSrc</t>
  </si>
  <si>
    <t>Desc</t>
  </si>
  <si>
    <t>CreateAccountPolicyforTgt</t>
  </si>
  <si>
    <t>PolicyMoveTgtAccount</t>
  </si>
  <si>
    <t>PolicyMoveSrcAccount</t>
  </si>
  <si>
    <t>TC13_1</t>
  </si>
  <si>
    <t>CreateAccountPolicyforMultiplePolicySrc</t>
  </si>
  <si>
    <t>TC28</t>
  </si>
  <si>
    <t>ManageAcitivity</t>
  </si>
  <si>
    <t>eleCloseActivity</t>
  </si>
  <si>
    <t>VERIFYACTIVITYCLOSED</t>
  </si>
  <si>
    <t>eleActivityFollowUpList</t>
  </si>
  <si>
    <t>lstCurrentActivitiesAllOpen</t>
  </si>
  <si>
    <t>Closed in last 30 days</t>
  </si>
  <si>
    <t>VERIFYACTIVITYCLOSEDUINCLOSEDSTATUS</t>
  </si>
  <si>
    <t>ManageAcitivityVerification</t>
  </si>
  <si>
    <t>funVerifyActivityResults</t>
  </si>
  <si>
    <t>TC29</t>
  </si>
  <si>
    <t>MAMainFlow</t>
  </si>
  <si>
    <t>MANotesCreateErrorMsgViewNotes</t>
  </si>
  <si>
    <t>VERIFYNOTESWARNING:::You have started to enter a note with no text. The note will be saved only if you add to the text field. Please add text to the note or clear the note entirely and try again</t>
  </si>
  <si>
    <t>eleViewNotes</t>
  </si>
  <si>
    <t>VERIFYVIEWNOTESFORTHEACTIVITY:::Automation</t>
  </si>
  <si>
    <t>TC30</t>
  </si>
  <si>
    <t>VERIFYVIEWNOTEDOESNOTDISPLAYANYWARNING</t>
  </si>
  <si>
    <t>MANoInformationalMsgForViewNotes</t>
  </si>
  <si>
    <t>TC31</t>
  </si>
  <si>
    <t>VERIFYDUEDATEORESCALATIONDATEWARNINGMSG:::Escalation Date/Target Date are mandatory fields, field restored</t>
  </si>
  <si>
    <t>TC32</t>
  </si>
  <si>
    <t>clrDueDate</t>
  </si>
  <si>
    <t>clrEscalationDate</t>
  </si>
  <si>
    <t>MACheckingDueDate</t>
  </si>
  <si>
    <t>MACheckingEscalationDate</t>
  </si>
  <si>
    <t>TC_12_1</t>
  </si>
  <si>
    <t>TC_13_1</t>
  </si>
  <si>
    <t>TC12_3</t>
  </si>
  <si>
    <t>CreateAccountPolicyforSrc1</t>
  </si>
  <si>
    <t>POLICYMOVEVALIDATION:::46WECAA00DE:::In Force</t>
  </si>
  <si>
    <t>VERIFTYACCOUNTDETAILS:::AccContact:::246 BUCKLAND HILLS DR
MANCHESTER, CT 06042-8700:::Mailing:::75-1330802:::Account Holder</t>
  </si>
  <si>
    <t>VERIFYALLTHEROLES:::AccContact:::Account Holder</t>
  </si>
  <si>
    <t>AccContact</t>
  </si>
  <si>
    <t>UPDATEVALUEVERIFY:::AccContact1:::Billing Contact</t>
  </si>
  <si>
    <t>AccContact1:::EDIT</t>
  </si>
  <si>
    <t>REMOVEROLE:::AccContact:::Billing Contact</t>
  </si>
  <si>
    <t>AccContact:::EDIT</t>
  </si>
  <si>
    <t>AccContact1</t>
  </si>
  <si>
    <t>VERIFYROLEISREMOVED:::AccContact1:::Billing Contact</t>
  </si>
  <si>
    <t>TC20_1</t>
  </si>
  <si>
    <t>TC26_1</t>
  </si>
  <si>
    <t>tc26_1</t>
  </si>
  <si>
    <t>eleBillingContactforCompany</t>
  </si>
  <si>
    <t>eleBillingContactforCompany1</t>
  </si>
  <si>
    <t>eleAddZipCode</t>
  </si>
  <si>
    <t>CreateAccountforFEINwithoutFEINDetails</t>
  </si>
  <si>
    <t>CreateAccountforFEINwithFEINDetails</t>
  </si>
  <si>
    <t>Search Account Note</t>
  </si>
  <si>
    <t>Create Account Note</t>
  </si>
  <si>
    <t>Delete Account Note</t>
  </si>
  <si>
    <t>Edit Account Note</t>
  </si>
  <si>
    <t>Search Policy Note</t>
  </si>
  <si>
    <t>Create Policy Note</t>
  </si>
  <si>
    <t>Delete Policy Note</t>
  </si>
  <si>
    <t>Edit Policy Note</t>
  </si>
  <si>
    <t>Edit Subject and Text Policy Note</t>
  </si>
  <si>
    <t>TC33</t>
  </si>
  <si>
    <t>TC34</t>
  </si>
  <si>
    <t>TC35</t>
  </si>
  <si>
    <t>TC36</t>
  </si>
  <si>
    <t>TC37</t>
  </si>
  <si>
    <t>TC38</t>
  </si>
  <si>
    <t>TC39</t>
  </si>
  <si>
    <t>TC40</t>
  </si>
  <si>
    <t>TC41</t>
  </si>
  <si>
    <t>SearchAccountNote</t>
  </si>
  <si>
    <t>CreateAccountNote</t>
  </si>
  <si>
    <t>DeleteAccountNote</t>
  </si>
  <si>
    <t>EditAccountNote</t>
  </si>
  <si>
    <t>SearchPolicy</t>
  </si>
  <si>
    <t>SearchPolicyNote</t>
  </si>
  <si>
    <t>CreatePolicyNote</t>
  </si>
  <si>
    <t>DeletePolicyNote</t>
  </si>
  <si>
    <t>EditPolicyNote</t>
  </si>
  <si>
    <t>elePolicyTransactions</t>
  </si>
  <si>
    <t>eleSelectPolicy</t>
  </si>
  <si>
    <t>Description</t>
  </si>
  <si>
    <t>eleAccNotes</t>
  </si>
  <si>
    <t>eleAccountNoteReset</t>
  </si>
  <si>
    <t>eleAccNoteAscOrder</t>
  </si>
  <si>
    <t>eleDecNoteAscOrder</t>
  </si>
  <si>
    <t>edtAccNoteSearchText</t>
  </si>
  <si>
    <t>edtAccNoteSearchAuthor</t>
  </si>
  <si>
    <t>lstAccNoteSearchTopic</t>
  </si>
  <si>
    <t>edtAccNoteSearchDateTo</t>
  </si>
  <si>
    <t>edtAccNoteSearchDateFrom</t>
  </si>
  <si>
    <t>lstAccNoteSearchRelatedTo</t>
  </si>
  <si>
    <t>eleAccountNotesSearch</t>
  </si>
  <si>
    <t>funVerify</t>
  </si>
  <si>
    <t>Search with Search Text</t>
  </si>
  <si>
    <t>Search with Author</t>
  </si>
  <si>
    <t>Search with Topic</t>
  </si>
  <si>
    <t>Search with Date</t>
  </si>
  <si>
    <t>Search with Related To</t>
  </si>
  <si>
    <t>Search with Topic Asc</t>
  </si>
  <si>
    <t>Search with Topic Desc</t>
  </si>
  <si>
    <t>eleAccountAction</t>
  </si>
  <si>
    <t>eleNewNote</t>
  </si>
  <si>
    <t>edtSubjectText</t>
  </si>
  <si>
    <t>sclAccCreateUpdate</t>
  </si>
  <si>
    <t>eleAccCreateUpdate</t>
  </si>
  <si>
    <t>Test006</t>
  </si>
  <si>
    <t>eleDelete</t>
  </si>
  <si>
    <t>eleDeleteAccountNoteOK</t>
  </si>
  <si>
    <t>eleAccountNoteEdit</t>
  </si>
  <si>
    <t>edtEditAccNoteSubject</t>
  </si>
  <si>
    <t>edtEditAccNoteText</t>
  </si>
  <si>
    <t>eleUpdateAccEditNote</t>
  </si>
  <si>
    <t>elePolicyNotes</t>
  </si>
  <si>
    <t>edtPolicySearchText</t>
  </si>
  <si>
    <t>elePolicyNotesSearch</t>
  </si>
  <si>
    <t>elePolicyAction</t>
  </si>
  <si>
    <t>elePolicyNewNote</t>
  </si>
  <si>
    <t>lstPolicyNotesTopic</t>
  </si>
  <si>
    <t>edtPolicyNotesSubjectText</t>
  </si>
  <si>
    <t>lstRelatedTolstPolicyNotesRelatedTo</t>
  </si>
  <si>
    <t>edtPolicyNotesText</t>
  </si>
  <si>
    <t>sclPolicyNotesCreateUpdate</t>
  </si>
  <si>
    <t>elePolicyNotesCreateUpdate</t>
  </si>
  <si>
    <t>TestPolicy04</t>
  </si>
  <si>
    <t>TestPolicy004</t>
  </si>
  <si>
    <t>elePolicyNoteDelete</t>
  </si>
  <si>
    <t>eleDeletePolicyNoteOK</t>
  </si>
  <si>
    <t>VerifySearchPolicyNotesName:::TestPolicy004</t>
  </si>
  <si>
    <t>elePolNoteEdit</t>
  </si>
  <si>
    <t>edtPolNoteUpdateSubject</t>
  </si>
  <si>
    <t>edtPolNoteUpdateText</t>
  </si>
  <si>
    <t>elePolNoteUpdateNote</t>
  </si>
  <si>
    <t>Modify with Subject</t>
  </si>
  <si>
    <t>VerifySearchAccountNotesName:::Test006</t>
  </si>
  <si>
    <t>funAddAddressEnable</t>
  </si>
  <si>
    <t>lstTopicAM</t>
  </si>
  <si>
    <t>edtTextAM</t>
  </si>
  <si>
    <t>TC42</t>
  </si>
  <si>
    <t>TC43</t>
  </si>
  <si>
    <t>TC44</t>
  </si>
  <si>
    <t>TC45</t>
  </si>
  <si>
    <t>eleActivityCancel</t>
  </si>
  <si>
    <t>VERIFYCANCELCHECK</t>
  </si>
  <si>
    <t>VERIFYSTATUS:::Closed</t>
  </si>
  <si>
    <t>MACancel&amp;CloseActivityStatus</t>
  </si>
  <si>
    <t>MACompleteActivityStatus</t>
  </si>
  <si>
    <t>eleCompleteAcitivity</t>
  </si>
  <si>
    <t>eleActivityClosed3</t>
  </si>
  <si>
    <t>eleActivityCompleted4</t>
  </si>
  <si>
    <t>MA</t>
  </si>
  <si>
    <t>eleActivityClosed0</t>
  </si>
  <si>
    <t>MACloseandCreateActivity</t>
  </si>
  <si>
    <t>eleCloseCreateNew</t>
  </si>
  <si>
    <t>eleRemainder</t>
  </si>
  <si>
    <t>eleRemainderFollowUp</t>
  </si>
  <si>
    <t>VERIFYACTIVITYSTATUS:::Replaced</t>
  </si>
  <si>
    <t>TC46</t>
  </si>
  <si>
    <t>MAPMainFlow</t>
  </si>
  <si>
    <t>ActivityPattern</t>
  </si>
  <si>
    <t>melAdministration</t>
  </si>
  <si>
    <t>funAcitivityPattern</t>
  </si>
  <si>
    <t>eleNewActivityPattern</t>
  </si>
  <si>
    <t>edtSubject</t>
  </si>
  <si>
    <t>edtCode</t>
  </si>
  <si>
    <t>lstPatternLevel</t>
  </si>
  <si>
    <t>All</t>
  </si>
  <si>
    <t>Iteration1</t>
  </si>
  <si>
    <t>eleBSAdd</t>
  </si>
  <si>
    <t xml:space="preserve">Captive Services:::Payroll Billing :::Track 1 </t>
  </si>
  <si>
    <t>funBussinessSegment</t>
  </si>
  <si>
    <t>funActivityPatternResults</t>
  </si>
  <si>
    <t>eleUpdateAP</t>
  </si>
  <si>
    <t>eleLastPageArrow</t>
  </si>
  <si>
    <t>TC47</t>
  </si>
  <si>
    <t>eleCancelAP</t>
  </si>
  <si>
    <t>VERIFYCANCEL</t>
  </si>
  <si>
    <t>TC48</t>
  </si>
  <si>
    <t>TC49</t>
  </si>
  <si>
    <t>TC50</t>
  </si>
  <si>
    <t>TC51</t>
  </si>
  <si>
    <t>TC52</t>
  </si>
  <si>
    <t>TC53</t>
  </si>
  <si>
    <t>TC54</t>
  </si>
  <si>
    <t>TC55</t>
  </si>
  <si>
    <t>TC56</t>
  </si>
  <si>
    <t>ActivityPatternVerification</t>
  </si>
  <si>
    <t>MAPVerifyCancel</t>
  </si>
  <si>
    <t>MAPVerifyCancelUsingUpTOActivityPattern</t>
  </si>
  <si>
    <t>eleUpToActivityPattern</t>
  </si>
  <si>
    <t>eleDeleteAP</t>
  </si>
  <si>
    <t>MAPDeleteActivityPattern</t>
  </si>
  <si>
    <t>VERIFYCREATEDACTIVITYPATTERN:::CreateActivityPattern:::Automation</t>
  </si>
  <si>
    <t>eleEditAP</t>
  </si>
  <si>
    <t>VERIFYCREATEDACTIVITYPATTERN:::CreateActivityPattern:::AutomationEdit</t>
  </si>
  <si>
    <t>MAPEditActivityPattern</t>
  </si>
  <si>
    <t>edtEditSubject</t>
  </si>
  <si>
    <t>eleEditUpdateAP</t>
  </si>
  <si>
    <t>eleEditUptoLink</t>
  </si>
  <si>
    <t>AutomationEdit</t>
  </si>
  <si>
    <t>VERIFYACTIVITYDELETED:::DeleteActivityPattern:::AutomationEdit</t>
  </si>
  <si>
    <t>Automation123</t>
  </si>
  <si>
    <t>eleEditCancelAP</t>
  </si>
  <si>
    <t>SELECTINGTHEACTIVITYTOEDIT:::SELECTACTIVITYACTION:::Automation</t>
  </si>
  <si>
    <t>MAPMandatoryWarningAlert</t>
  </si>
  <si>
    <t>MAPEditActivityPatternCancel</t>
  </si>
  <si>
    <t>eleRecurringYes</t>
  </si>
  <si>
    <t>lstPriority</t>
  </si>
  <si>
    <t>Normal</t>
  </si>
  <si>
    <t>lstCategory</t>
  </si>
  <si>
    <t>Billing</t>
  </si>
  <si>
    <t>VERIFYBISNESSSEGMENTTRACKLEVELTRACK:::Captive Services:::Payroll Billing:::Track 1</t>
  </si>
  <si>
    <t>MAPVerifyBusinessSegmentTable</t>
  </si>
  <si>
    <t>MAPVerifyRecurringPriorityTypeCategoryBusinessGrouping</t>
  </si>
  <si>
    <t>lstBusinessGrouping</t>
  </si>
  <si>
    <t>Alternative Market</t>
  </si>
  <si>
    <t>VERIFYRECURRINGPRIORITYTYPECATEGORYBUSINESSGROUPING:::Yes:::Normal:::Billing:::General:::Alternative Market</t>
  </si>
  <si>
    <t>MAPRemoveBusinessSegment</t>
  </si>
  <si>
    <t>eleRemoveBS</t>
  </si>
  <si>
    <t>eleSelectBS</t>
  </si>
  <si>
    <t>VERIFYBUSINESSSEGMENTREMOVED</t>
  </si>
  <si>
    <t>SELECTINGTHEACTIVITYTOEDIT:::SELECTACTIVITYACTION:::AutomationEdit</t>
  </si>
  <si>
    <t>SELECTINGTHEACTIVITYTODELETE:::SELECTACTIVITYPATTERNTODELETE:::AutomationEdit</t>
  </si>
  <si>
    <t>TC57</t>
  </si>
  <si>
    <t>TC58</t>
  </si>
  <si>
    <t>TC59</t>
  </si>
  <si>
    <t>TC60</t>
  </si>
  <si>
    <t>TC61</t>
  </si>
  <si>
    <t>TC62</t>
  </si>
  <si>
    <t>TC63</t>
  </si>
  <si>
    <t>TC64</t>
  </si>
  <si>
    <t xml:space="preserve"> </t>
  </si>
  <si>
    <t>eljWorkerComp</t>
  </si>
  <si>
    <t>SampleData001</t>
  </si>
  <si>
    <t>SampleData002</t>
  </si>
  <si>
    <t>Priority</t>
  </si>
  <si>
    <t>P1</t>
  </si>
  <si>
    <t>P3</t>
  </si>
  <si>
    <t>P2</t>
  </si>
  <si>
    <t>AccountMergeVerification</t>
  </si>
  <si>
    <t>184,185,186,187,189,190,191,174</t>
  </si>
  <si>
    <t>192,193,194,175</t>
  </si>
  <si>
    <t>177,178,179</t>
  </si>
  <si>
    <t>138</t>
  </si>
  <si>
    <t>147,148</t>
  </si>
  <si>
    <t>150</t>
  </si>
  <si>
    <t>151</t>
  </si>
  <si>
    <t>149,152,153,154,155,139,140,141,142</t>
  </si>
  <si>
    <t>136,143</t>
  </si>
  <si>
    <t>137,144,145</t>
  </si>
  <si>
    <t>AC</t>
  </si>
  <si>
    <t>AN</t>
  </si>
  <si>
    <t>TC27_1</t>
  </si>
  <si>
    <t>TestCondition</t>
  </si>
  <si>
    <t>171,176</t>
  </si>
  <si>
    <t>Sojan David</t>
  </si>
  <si>
    <t>Test004</t>
  </si>
  <si>
    <t>VerifySearchAccountNotesName:::Test004</t>
  </si>
  <si>
    <t>eleVerify</t>
  </si>
  <si>
    <t>TC27_2</t>
  </si>
  <si>
    <t>VERIFYACTIVITYSTATUS:::Not Started</t>
  </si>
  <si>
    <t>CreateAccountPolicyForCreateActivity</t>
  </si>
  <si>
    <t>CAVerifyCreateActivityStatusCheck</t>
  </si>
  <si>
    <t>CreateActivity</t>
  </si>
  <si>
    <t>CreateAcitivityVerification</t>
  </si>
  <si>
    <t>CAVerifyNotesWaringinMessage</t>
  </si>
  <si>
    <t>eleQuotePropsalBuilder</t>
  </si>
  <si>
    <t>eleNextQPB</t>
  </si>
  <si>
    <t>CPG7081</t>
  </si>
  <si>
    <t>eleCreateProposal</t>
  </si>
  <si>
    <t>CA</t>
  </si>
  <si>
    <t>Use Case</t>
  </si>
  <si>
    <t>AM</t>
  </si>
  <si>
    <t>PM</t>
  </si>
  <si>
    <t>MAP</t>
  </si>
  <si>
    <t>Data</t>
  </si>
  <si>
    <t>ACCreateAccountPolicyForAccountContact</t>
  </si>
  <si>
    <t>ANCreateAccountPolicyforAccountNotes</t>
  </si>
  <si>
    <t>Change AccNumber &amp; Date in SearchAccountNote Component</t>
  </si>
  <si>
    <t>TC20_2</t>
  </si>
  <si>
    <t>ACCreatePolicyForAccountContact</t>
  </si>
  <si>
    <t>Smoke</t>
  </si>
  <si>
    <t>cfuWait</t>
  </si>
  <si>
    <t>71923-6011</t>
  </si>
  <si>
    <t>eljShell</t>
  </si>
  <si>
    <t>eljSOR</t>
  </si>
  <si>
    <t>CPG2233</t>
  </si>
  <si>
    <t>funDefaultEffectiveDate</t>
  </si>
  <si>
    <t>funSelectLOB</t>
  </si>
  <si>
    <t>funDataFill</t>
  </si>
  <si>
    <t>AC_2</t>
  </si>
  <si>
    <t>Not Needed this scenario</t>
  </si>
  <si>
    <t>Workers' Compensation:::SOR</t>
  </si>
  <si>
    <t>CLAPolicyInfo</t>
  </si>
  <si>
    <t>CLAQuoteTransactions</t>
  </si>
  <si>
    <t>CLAQuotedForm</t>
  </si>
  <si>
    <t>CLAAMPBilling</t>
  </si>
  <si>
    <t>CLA</t>
  </si>
  <si>
    <t>eleCLABindOption</t>
  </si>
  <si>
    <t>Yes</t>
  </si>
  <si>
    <t>eleCLAQFQuoteForm</t>
  </si>
  <si>
    <t>eleCLAAMPBilling</t>
  </si>
  <si>
    <t>147565731011478</t>
  </si>
  <si>
    <t>Workers' Compensation:::Shell</t>
  </si>
  <si>
    <t>ProductSelect</t>
  </si>
  <si>
    <t>Shell</t>
  </si>
  <si>
    <t>SOR</t>
  </si>
  <si>
    <t>46WECAA00AA</t>
  </si>
  <si>
    <t>funAddClass</t>
  </si>
  <si>
    <t>TC002</t>
  </si>
  <si>
    <t>TC003</t>
  </si>
  <si>
    <t>TC004</t>
  </si>
  <si>
    <t>TC005</t>
  </si>
  <si>
    <t>TC006</t>
  </si>
  <si>
    <t>TC006,007,008,009,010,011,012,013,014</t>
  </si>
  <si>
    <t>TC0015,0016,0017,0018</t>
  </si>
  <si>
    <t>TC001,0019</t>
  </si>
  <si>
    <t>TC0020</t>
  </si>
  <si>
    <t>TC0003</t>
  </si>
  <si>
    <t>TC0004,5</t>
  </si>
  <si>
    <t>TC0001,17</t>
  </si>
  <si>
    <t>TC0002,18,19</t>
  </si>
  <si>
    <t>TC0007</t>
  </si>
  <si>
    <t>TC0008</t>
  </si>
  <si>
    <t>TC006,9,10,11,12,13,14,15,16</t>
  </si>
  <si>
    <t>TC006,7</t>
  </si>
  <si>
    <t>TC001,002</t>
  </si>
  <si>
    <t>TC003,4,5</t>
  </si>
  <si>
    <t>TC007</t>
  </si>
  <si>
    <t>TC008,10</t>
  </si>
  <si>
    <t>TC0013</t>
  </si>
  <si>
    <t>TC0014,16</t>
  </si>
  <si>
    <t>TC008</t>
  </si>
  <si>
    <t>TC009</t>
  </si>
  <si>
    <t>TC001,003,005,011</t>
  </si>
  <si>
    <t>1281,1285</t>
  </si>
  <si>
    <t>1203,1596</t>
  </si>
  <si>
    <t>1221,1596</t>
  </si>
  <si>
    <t>CreateAccountforManageAccount</t>
  </si>
  <si>
    <t>1205,1206</t>
  </si>
  <si>
    <t>TC3_1</t>
  </si>
  <si>
    <t>SampleData004</t>
  </si>
  <si>
    <t>502 S Sixth Street</t>
  </si>
  <si>
    <t>State Act:::1: 502 S 6TH ST, ARKADELPHIA, AR:::2802:::1234</t>
  </si>
  <si>
    <t>cfuCheckPopUpAlert</t>
  </si>
  <si>
    <t>CreateAccountforSearchActivities</t>
  </si>
  <si>
    <t>SA</t>
  </si>
  <si>
    <t>CreateAccountPolicyCT</t>
  </si>
  <si>
    <t>CreateAccountPolicyAR</t>
  </si>
  <si>
    <t>Component1</t>
  </si>
  <si>
    <t>Component2</t>
  </si>
  <si>
    <t>Component3</t>
  </si>
  <si>
    <t>Component4</t>
  </si>
  <si>
    <t>Component5</t>
  </si>
  <si>
    <t>Component6</t>
  </si>
  <si>
    <t>Component7</t>
  </si>
  <si>
    <t>Component8</t>
  </si>
  <si>
    <t>Component9</t>
  </si>
  <si>
    <t>Component10</t>
  </si>
  <si>
    <t>Component11</t>
  </si>
  <si>
    <t>Component12</t>
  </si>
  <si>
    <t>Component13</t>
  </si>
  <si>
    <t>Component14</t>
  </si>
  <si>
    <t>Component15</t>
  </si>
  <si>
    <t>Component16</t>
  </si>
  <si>
    <t>SearchActivity</t>
  </si>
  <si>
    <t>SearchActivites</t>
  </si>
  <si>
    <t>eleSearchActivites</t>
  </si>
  <si>
    <t>eleSearchActivitesSearch</t>
  </si>
  <si>
    <t>edtSearchActivitesAccountNumber</t>
  </si>
  <si>
    <t>edtSearchActivitesProducerCode</t>
  </si>
  <si>
    <t>eleSearchActivitiesReset</t>
  </si>
  <si>
    <t>eleSearchActivitesLookUp</t>
  </si>
  <si>
    <t>eleSAUNSearch</t>
  </si>
  <si>
    <t>edtSAUserName</t>
  </si>
  <si>
    <t>cpg7081</t>
  </si>
  <si>
    <t>eleSAUNSelect</t>
  </si>
  <si>
    <t>TC65</t>
  </si>
  <si>
    <t>TC66</t>
  </si>
  <si>
    <t>TC67</t>
  </si>
  <si>
    <t>TC68</t>
  </si>
  <si>
    <t>TC69</t>
  </si>
  <si>
    <t>TC70</t>
  </si>
  <si>
    <t>TC71</t>
  </si>
  <si>
    <t>TC72</t>
  </si>
  <si>
    <t>TC73</t>
  </si>
  <si>
    <t>147728845191045</t>
  </si>
  <si>
    <t>46WECAA00GZ</t>
  </si>
  <si>
    <t>ProducerCodeCheck_TCON02</t>
  </si>
  <si>
    <t>46508901</t>
  </si>
  <si>
    <t>TC74</t>
  </si>
  <si>
    <t>TC75</t>
  </si>
  <si>
    <t>TC76</t>
  </si>
  <si>
    <t>TC77</t>
  </si>
  <si>
    <t>TC78</t>
  </si>
  <si>
    <t>TC79</t>
  </si>
  <si>
    <t>TC80</t>
  </si>
  <si>
    <t>TC81</t>
  </si>
  <si>
    <t>TC82</t>
  </si>
  <si>
    <t>TC83</t>
  </si>
  <si>
    <t>TC84</t>
  </si>
  <si>
    <t>TC85</t>
  </si>
  <si>
    <t>funSelectResultsToAssign</t>
  </si>
  <si>
    <t>PC_Search Activity_TCON06_Review an Activity</t>
  </si>
  <si>
    <t>REVIEWACTIVITY</t>
  </si>
  <si>
    <t>PC_Search Activity_TCON08_Assign Activity</t>
  </si>
  <si>
    <t>ASSIGNACTIVITYSTATUS</t>
  </si>
  <si>
    <t>eleSAAssign</t>
  </si>
  <si>
    <t>eleSAUserAssign</t>
  </si>
  <si>
    <t>lstSASelectFromList</t>
  </si>
  <si>
    <t>eleSAActivityWorkSpaceOK</t>
  </si>
  <si>
    <t>eleSAFindaUserorQueue</t>
  </si>
  <si>
    <t>lstSASearchFor</t>
  </si>
  <si>
    <t>Free From Text</t>
  </si>
  <si>
    <t>eleSASearchAA</t>
  </si>
  <si>
    <t>Queue</t>
  </si>
  <si>
    <t>edtSAUNAA</t>
  </si>
  <si>
    <t>edtSAFNAA</t>
  </si>
  <si>
    <t>edtSALNAA</t>
  </si>
  <si>
    <t>edtSAQueueName</t>
  </si>
  <si>
    <t>OOTBMESSSAGE</t>
  </si>
  <si>
    <t>eleSAResetAA</t>
  </si>
  <si>
    <t>PC_Search Activity_TCON10_TCON10_OOTB</t>
  </si>
  <si>
    <t>eleSARETURNSA</t>
  </si>
  <si>
    <t>OOTBWARNINGMESSAGE:::If you go back to a previous page, unsaved data on the pages that are after it will be discarded. Are you sure you want to go there?</t>
  </si>
  <si>
    <t>1693,1695</t>
  </si>
  <si>
    <t>AccountNumber:::SearchActivites</t>
  </si>
  <si>
    <t>eleSearchLookUpMA</t>
  </si>
  <si>
    <t>lstMAQueue</t>
  </si>
  <si>
    <t>edtMAQueue</t>
  </si>
  <si>
    <t>Reinsurance</t>
  </si>
  <si>
    <t>eleMAAssignQueue</t>
  </si>
  <si>
    <t>eleMASearch</t>
  </si>
  <si>
    <t>cfuTestDataFill</t>
  </si>
  <si>
    <t>eleSAssigntoQueue</t>
  </si>
  <si>
    <t>edtSAQueueNameATQ</t>
  </si>
  <si>
    <t>eleSASearchATQ</t>
  </si>
  <si>
    <t>eleSASelectATQ</t>
  </si>
  <si>
    <t>1697,1698</t>
  </si>
  <si>
    <t>Create, Edit and Delete Shell Policy Note</t>
  </si>
  <si>
    <t>SPN</t>
  </si>
  <si>
    <t>CreateShellPolicyNote</t>
  </si>
  <si>
    <t>EditShellPolicyNote</t>
  </si>
  <si>
    <t>DeleteShellPolicyNote</t>
  </si>
  <si>
    <t>1737,1607</t>
  </si>
  <si>
    <t>Search Policies using Company Name, PNI and DBA Name through Search Tab</t>
  </si>
  <si>
    <t>SSP</t>
  </si>
  <si>
    <t>SearchTabAction</t>
  </si>
  <si>
    <t>1611</t>
  </si>
  <si>
    <t>Search Policies using Company Name through Search Tab</t>
  </si>
  <si>
    <t>1609</t>
  </si>
  <si>
    <t>Search Policies using Company Name Exact Match Error Message through Search Tab</t>
  </si>
  <si>
    <t>1739</t>
  </si>
  <si>
    <t>Search Policies using Policy Number through Search Tab</t>
  </si>
  <si>
    <t>1741</t>
  </si>
  <si>
    <t>Search Policies using Other Policy Number through Search Tab</t>
  </si>
  <si>
    <t>1612</t>
  </si>
  <si>
    <t>Search Policies to verify Billing Number Error Message through Search Tab</t>
  </si>
  <si>
    <t>1615</t>
  </si>
  <si>
    <t>Search Policies to verify FEIN Number Error Message through Search Tab</t>
  </si>
  <si>
    <t>1614</t>
  </si>
  <si>
    <t>Search Policies to verify Policy Number Error Message through Search Tab</t>
  </si>
  <si>
    <t>1608</t>
  </si>
  <si>
    <t>Search Policies to verify Minimum Search Criteria Error Message through Search Tab</t>
  </si>
  <si>
    <t>You must enter a company name, FEIN, account number, policy number, submission number, phone number,Other Policy Number,producer, or producer code. For an inexact search, you must enter at least three letters of the company name.</t>
  </si>
  <si>
    <t>Policy Number (last 6) : Policy Number search must be 6 digits</t>
  </si>
  <si>
    <t>AA00A</t>
  </si>
  <si>
    <t>Policy</t>
  </si>
  <si>
    <t>FEIN : FEIN must be a nine-digit number, with a hyphen after the first two numbers</t>
  </si>
  <si>
    <t>54654654</t>
  </si>
  <si>
    <t>FEIN</t>
  </si>
  <si>
    <t>Billing Number : Billing Number must be 7 to 8 digit numeric</t>
  </si>
  <si>
    <t>235265</t>
  </si>
  <si>
    <t>BillingNumber</t>
  </si>
  <si>
    <t>Only one parameter can be searched.</t>
  </si>
  <si>
    <t>AA00AA</t>
  </si>
  <si>
    <t>Sa</t>
  </si>
  <si>
    <t>CompanyName</t>
  </si>
  <si>
    <t>Sam</t>
  </si>
  <si>
    <t>Sample</t>
  </si>
  <si>
    <t>eleSearchTabResetBtn</t>
  </si>
  <si>
    <t>funVerifyCompareErrorMsg</t>
  </si>
  <si>
    <t>eleSearchTabSearchBtn</t>
  </si>
  <si>
    <t>lstSearchTabUWCompanies</t>
  </si>
  <si>
    <t>lstSearchTabState</t>
  </si>
  <si>
    <t>edtSearchTabAccountNum</t>
  </si>
  <si>
    <t>edtSearchTabCompanyName</t>
  </si>
  <si>
    <t>eleSearchTabExactName</t>
  </si>
  <si>
    <t>funverifyErrorMsgDisplayedOrNot</t>
  </si>
  <si>
    <t>edtSearchTabFEIN</t>
  </si>
  <si>
    <t>edtSearchTabBillingNum</t>
  </si>
  <si>
    <t>edtSearchTabOtherPolicy</t>
  </si>
  <si>
    <t>edtSearchTabPolicyNum</t>
  </si>
  <si>
    <t>SearchCriteria</t>
  </si>
  <si>
    <t>ActionPage</t>
  </si>
  <si>
    <t>eleSearchTabQLaunchPolicy</t>
  </si>
  <si>
    <t>eleSearchTab</t>
  </si>
  <si>
    <t>eleSAAssignUN</t>
  </si>
  <si>
    <t>TC72_1</t>
  </si>
  <si>
    <t>SearchActivity_RE</t>
  </si>
  <si>
    <t>ASSIGNTOFIELD:::Sojan David</t>
  </si>
  <si>
    <t>PC_Search Activity_TCON12_TCON14_Close_Activity</t>
  </si>
  <si>
    <t>OOTBTCON15:::Insufficient information - please specify more details to narrow down your search.</t>
  </si>
  <si>
    <t>SearchForSpecificUser_TCON03_TCON15</t>
  </si>
  <si>
    <t>1660,1706</t>
  </si>
  <si>
    <t>DISABLEASSIGNTOQUEUEFIELD</t>
  </si>
  <si>
    <t>DISABLEASSIGNTOUSERFIELD</t>
  </si>
  <si>
    <t>mm R</t>
  </si>
  <si>
    <t>FULLWILDCARDSEARCH:::MM Renewal Prep - MM / Large Commercial Ops:::MM Rating &amp; Issuance - MM / Large Commercial Ops</t>
  </si>
  <si>
    <t>BH</t>
  </si>
  <si>
    <t>ASSIGNTOQUEUEWARNINGMSG:::Assigned to: Did not find queue with the name “BH”.Please use the pop-up to select the user or queue.</t>
  </si>
  <si>
    <t>eleSAClose</t>
  </si>
  <si>
    <t>eleSAComplete</t>
  </si>
  <si>
    <t>TC72_2</t>
  </si>
  <si>
    <t>SearchActivity_COMPLETE</t>
  </si>
  <si>
    <t>Super User (ORLANDO REGIONAL OFFICE)</t>
  </si>
  <si>
    <t>PC_Search Activity_TCON07_Complete Activity from search Activites Screen</t>
  </si>
  <si>
    <t>TC72_3</t>
  </si>
  <si>
    <t>TC72_4</t>
  </si>
  <si>
    <t>SearchActivity_CLOSEOTHERACTVITY</t>
  </si>
  <si>
    <t>SearchActivity_COMOTHERACTVITITY</t>
  </si>
  <si>
    <t>edtMAUserName</t>
  </si>
  <si>
    <t>eleMAUNAssign</t>
  </si>
  <si>
    <t>PC_Search Activity_TCON20_user able to close an activity assigned to other user.</t>
  </si>
  <si>
    <t>PC_Search Activity_TCON21_User able to complete an activity assigned to other user.</t>
  </si>
  <si>
    <t>PC_Search Activity_BR7262_BR7263_BR3018_BR7264</t>
  </si>
  <si>
    <t>eleSAFollowUp</t>
  </si>
  <si>
    <t>147798651328262</t>
  </si>
  <si>
    <t>TC72_5</t>
  </si>
  <si>
    <t>eleMAPoleleActions</t>
  </si>
  <si>
    <t>eleMAPolNewActivity</t>
  </si>
  <si>
    <t>eleMAPolReminder</t>
  </si>
  <si>
    <t>eleMAPolFollowUp</t>
  </si>
  <si>
    <t>SearchActivity_PRODUCRECODE</t>
  </si>
  <si>
    <t>elePolicyNumber</t>
  </si>
  <si>
    <t>147799356005305</t>
  </si>
  <si>
    <t>Test Data</t>
  </si>
  <si>
    <t>AccountNumber:::SearchAccountNote</t>
  </si>
  <si>
    <t>funCurrentDateFrom</t>
  </si>
  <si>
    <t>funCurrentDateTo</t>
  </si>
  <si>
    <t>PolicyNumber:::AccountContactVerification</t>
  </si>
  <si>
    <t>AccountNumber:::AccountContact</t>
  </si>
  <si>
    <t>5170223069</t>
  </si>
  <si>
    <t>46WECAA00BE</t>
  </si>
  <si>
    <t>46WECAA00LA</t>
  </si>
  <si>
    <t>AccountNotes</t>
  </si>
  <si>
    <t>QPB</t>
  </si>
  <si>
    <t>Commercial Auto:::Shell</t>
  </si>
  <si>
    <t>eleCLAManualYES</t>
  </si>
  <si>
    <t>eleCLAPISaveDraft</t>
  </si>
  <si>
    <t>eleCLAQTAdd</t>
  </si>
  <si>
    <t>eljCLAQT</t>
  </si>
  <si>
    <t>funQuoteTransactionTable</t>
  </si>
  <si>
    <t>AB</t>
  </si>
  <si>
    <t>lstCLAPolicySymbol</t>
  </si>
  <si>
    <t>eleCLAQTADDQuoteDetails</t>
  </si>
  <si>
    <t>funQuoteDetailsTable</t>
  </si>
  <si>
    <t>eleCLAQTSaveDraft</t>
  </si>
  <si>
    <t>eleCLAQuotedBO</t>
  </si>
  <si>
    <t>QPBMainFlow_Without CLA Policy</t>
  </si>
  <si>
    <t>TestData</t>
  </si>
  <si>
    <t>PolicySelection</t>
  </si>
  <si>
    <t>ContactInformation</t>
  </si>
  <si>
    <t>AdditionalPolicy</t>
  </si>
  <si>
    <t>ProposalOptions</t>
  </si>
  <si>
    <t>147653520312745</t>
  </si>
  <si>
    <t>TC86</t>
  </si>
  <si>
    <t>TC87</t>
  </si>
  <si>
    <t>QPB_Data_CLA Policy</t>
  </si>
  <si>
    <t>Commercial Auto:::12345:::Winsor:::The Hartford Accident and Indemnity Insurance Company:::Not Supported</t>
  </si>
  <si>
    <t>SOTMMQPB:::001:::Testing:::$12,345.00</t>
  </si>
  <si>
    <t>lstQuoteVersions</t>
  </si>
  <si>
    <t>001 $$12,345.00</t>
  </si>
  <si>
    <t>edtZipCodeQPB</t>
  </si>
  <si>
    <t>lstStateQPB</t>
  </si>
  <si>
    <t>edtCityAPB</t>
  </si>
  <si>
    <t>edtAddressQPB</t>
  </si>
  <si>
    <t>eleSelectQPB</t>
  </si>
  <si>
    <t>eleSearchQPB</t>
  </si>
  <si>
    <t>edtUserNameQPB</t>
  </si>
  <si>
    <t>eleSearchLookUpPAM</t>
  </si>
  <si>
    <t>eleSearchLookUpPU</t>
  </si>
  <si>
    <t>CPG2230</t>
  </si>
  <si>
    <t>CommercialAuto</t>
  </si>
  <si>
    <t>AccountNumber:::TestData</t>
  </si>
  <si>
    <t>1532,1533,1556,1571,1808,1619</t>
  </si>
  <si>
    <t>1740</t>
  </si>
  <si>
    <t>Search Shell note using Related to dropdown</t>
  </si>
  <si>
    <t>SearchPolicyShellNote</t>
  </si>
  <si>
    <t>TC61_1</t>
  </si>
  <si>
    <t>PolicyNumber:::SearchTabAction</t>
  </si>
  <si>
    <t>edtQPBCoverageDetails</t>
  </si>
  <si>
    <t>eleQPBAdditionalCharges</t>
  </si>
  <si>
    <t>eleQPBGolfMobiles</t>
  </si>
  <si>
    <t>edtQPBGolfMobilesPrem</t>
  </si>
  <si>
    <t>eleNoFaultPIP</t>
  </si>
  <si>
    <t>eleQPBOther</t>
  </si>
  <si>
    <t>Other_QPB_Coverage1</t>
  </si>
  <si>
    <t>edtQPBOtherCoverage1</t>
  </si>
  <si>
    <t>edtQPBOtherCoverage2</t>
  </si>
  <si>
    <t>edtQPBOtherCoverage2Prem</t>
  </si>
  <si>
    <t>edtQPBOtherCoverage1Prem</t>
  </si>
  <si>
    <t>edtQPBOtherCoverage3</t>
  </si>
  <si>
    <t>edtQPBOtherCoverage3Prem</t>
  </si>
  <si>
    <t>eleQPBDocDriverList</t>
  </si>
  <si>
    <t>eleQPBBroadened</t>
  </si>
  <si>
    <t>eleQPBMinimum</t>
  </si>
  <si>
    <t>eleQPBDriver</t>
  </si>
  <si>
    <t>eleQPBAcceptable</t>
  </si>
  <si>
    <t>eleQPBVehicleId</t>
  </si>
  <si>
    <t>eleQPBCertificates</t>
  </si>
  <si>
    <t>eleQPBPrior</t>
  </si>
  <si>
    <t>eleQPBPrimaryHired</t>
  </si>
  <si>
    <t>eleQPBOptionalForms</t>
  </si>
  <si>
    <t>eleQPBHA99130187</t>
  </si>
  <si>
    <t>eleQPBCA99401293</t>
  </si>
  <si>
    <t>eleQPBCA99161013</t>
  </si>
  <si>
    <t>eleQPBCA20011013</t>
  </si>
  <si>
    <t>eleQPBHA20070614</t>
  </si>
  <si>
    <t>lstQPBBroadForm</t>
  </si>
  <si>
    <t>lstQPBAutoClaims</t>
  </si>
  <si>
    <t>lstQPBReportingAutoClaims</t>
  </si>
  <si>
    <t>lstQPBTop10Auto</t>
  </si>
  <si>
    <t>eleQPBAdditionalComments</t>
  </si>
  <si>
    <t>edtQPBAdditionalComments</t>
  </si>
  <si>
    <t>Other_QPB_Coverage2</t>
  </si>
  <si>
    <t>Other_QPB_Coverage3</t>
  </si>
  <si>
    <t>Flyer</t>
  </si>
  <si>
    <t>Both</t>
  </si>
  <si>
    <t>Hyperlink</t>
  </si>
  <si>
    <t>edtNoFaultPIPCov</t>
  </si>
  <si>
    <t>edtQPBDocDriverListCov</t>
  </si>
  <si>
    <t>edtQPBBroadenedCov</t>
  </si>
  <si>
    <t>eleQPBAdditionalPIP</t>
  </si>
  <si>
    <t>edtQPBAdditionalPIPCov</t>
  </si>
  <si>
    <t>QPBCommercialAutoCoverageDetails</t>
  </si>
  <si>
    <t>QPBCommercialAutoDriverList</t>
  </si>
  <si>
    <t>QPBCommercialAutoBroadened</t>
  </si>
  <si>
    <t>sclQPBAdditionalPIPSCL</t>
  </si>
  <si>
    <t>eleQPBHA99160312</t>
  </si>
  <si>
    <t>sclQPBOther</t>
  </si>
  <si>
    <t>eleQPBOtherCoverage2</t>
  </si>
  <si>
    <t>eleQPBOtherCoverage3</t>
  </si>
  <si>
    <t>eleQPBCoverageDetails</t>
  </si>
  <si>
    <t>eleQPBAccountSummary</t>
  </si>
  <si>
    <t>eleQPBComment</t>
  </si>
  <si>
    <t>eleQPBAcceptablePO</t>
  </si>
  <si>
    <t>eleQPBReceipt</t>
  </si>
  <si>
    <t>eleQPBOtherPO</t>
  </si>
  <si>
    <t>eleQPBAdditionalBilling</t>
  </si>
  <si>
    <t>edtQPBAdditionalBilling</t>
  </si>
  <si>
    <t>QPB_ComercialAuto_Additional_Billing</t>
  </si>
  <si>
    <t>edtQPBComment</t>
  </si>
  <si>
    <t>edtQPBOtherPO</t>
  </si>
  <si>
    <t>QPB_ComercialAuto_Comment</t>
  </si>
  <si>
    <t>QPB_CommercialAuto_AdditionalComments</t>
  </si>
  <si>
    <t>SOT_MMQPB_04NOV16</t>
  </si>
  <si>
    <t>cfuCommonWait</t>
  </si>
  <si>
    <t>cfuTerminationScreenShot</t>
  </si>
  <si>
    <t>147850294613431</t>
  </si>
  <si>
    <t>TC45_1</t>
  </si>
  <si>
    <t>1201</t>
  </si>
  <si>
    <t>AssignToField:::Reinsurance - Reinsurance</t>
  </si>
  <si>
    <t>MAAssigntoField</t>
  </si>
  <si>
    <t>funCloseCreate</t>
  </si>
  <si>
    <t>elePartnerException</t>
  </si>
  <si>
    <t>lstPartnerExceptionResason</t>
  </si>
  <si>
    <t>TC45_2</t>
  </si>
  <si>
    <t>TC44_1</t>
  </si>
  <si>
    <t>MAPartnerException</t>
  </si>
  <si>
    <t>ManageAcitivity_PE</t>
  </si>
  <si>
    <t>Not Trained</t>
  </si>
  <si>
    <t>TC45_3</t>
  </si>
  <si>
    <t>Call Out</t>
  </si>
  <si>
    <t>eleMAReset</t>
  </si>
  <si>
    <t>SEARCHFORASSIGNRESET</t>
  </si>
  <si>
    <t>1213</t>
  </si>
  <si>
    <t>1202,1231</t>
  </si>
  <si>
    <t>MAPartnerExceptionCallOutResetAssignmentSearch</t>
  </si>
  <si>
    <t>blinewRemainder</t>
  </si>
  <si>
    <t>bliPayBindOption</t>
  </si>
  <si>
    <t>Issue Policy</t>
  </si>
  <si>
    <t>147861586154403</t>
  </si>
  <si>
    <t>No Need for automation</t>
  </si>
  <si>
    <t>1718,1747,1980,1984</t>
  </si>
  <si>
    <t>eleBusinessSettings</t>
  </si>
  <si>
    <t>46WECAA00OU</t>
  </si>
  <si>
    <t>SearchPolicies</t>
  </si>
  <si>
    <t>PolicyNumber:::SearchPolicies</t>
  </si>
  <si>
    <t>DI</t>
  </si>
  <si>
    <t>melPolicy</t>
  </si>
  <si>
    <t>edtPolicyNumber</t>
  </si>
  <si>
    <t>bliCLABindOption</t>
  </si>
  <si>
    <t>46AB PoLNuM</t>
  </si>
  <si>
    <t>eleCLADriver</t>
  </si>
  <si>
    <t>DriverInformation</t>
  </si>
  <si>
    <t>eleCLADvrEdit</t>
  </si>
  <si>
    <t>eleCLADvrAddDriver</t>
  </si>
  <si>
    <t>eleCLADvrOK</t>
  </si>
  <si>
    <t>PolicyNumber:::CLAPolicyInfo</t>
  </si>
  <si>
    <t>eleDocument</t>
  </si>
  <si>
    <t>eleSearchIDRAS</t>
  </si>
  <si>
    <t>funOutPutValidation</t>
  </si>
  <si>
    <t>eleViewPolicy</t>
  </si>
  <si>
    <t>eleMergeSearch</t>
  </si>
  <si>
    <t>Checkingatthreechar:::aa At least three characters are required when Company Name is not an exact match</t>
  </si>
  <si>
    <t>CHECKINGALLINUM:::Alliance Number : 123456 must be 7 to 9 digit number</t>
  </si>
  <si>
    <t>CHECKINGAIFNUM:::AIF Number : 123456789 must be 10 digit number</t>
  </si>
  <si>
    <t>CHECKINGACCOUNTNUM:::Account Number : 1234567890 must enter 15 digit number</t>
  </si>
  <si>
    <t>CHECKINGFEINNUM:::FEIN : FEIN must be a nine-digit number, with a hyphen after the first two numbers</t>
  </si>
  <si>
    <t>CHECKINGEXPERIANKEY:::Experian Key : Experian Key must be a 9 or 13 digit number</t>
  </si>
  <si>
    <t>VERIFYNOTESWARNING:::You have started to enter a note with no text. The note will be saved only if you add to the text field. Please add text to the note or clear the note entirely and try again.</t>
  </si>
  <si>
    <t>VERIFYMANDATORYWARNIGNALERT:::Code : Missing Required field"Code":::Subject : Missing Required field"Subject":::Pattern Level : Missing Required field"Pattern Level"</t>
  </si>
  <si>
    <t>VERIFALLIANCEMESSAGE:::Alliance Number : 123456 must be 7 to 9 digit number</t>
  </si>
  <si>
    <t>edtCLADvrFirstName</t>
  </si>
  <si>
    <t>edtCLADvrLastName</t>
  </si>
  <si>
    <t>edtCLADvrLicenceNumber</t>
  </si>
  <si>
    <t>lstCLADvrLicenceState</t>
  </si>
  <si>
    <t>Driver</t>
  </si>
  <si>
    <t>147885765768812</t>
  </si>
  <si>
    <t>Driver_Information_Mainflow</t>
  </si>
  <si>
    <t>MANDATORYWARNING:::First name : Missing required field "First name":::Last name : Missing required field "Last name":::License # : Missing required field "License #":::License State : Missing required field "License State"</t>
  </si>
  <si>
    <t>MANDATORYWARNINGDOB:::Date of Birth : Missing required field "Date of Birth"</t>
  </si>
  <si>
    <t>Arkansas</t>
  </si>
  <si>
    <t>Missouri</t>
  </si>
  <si>
    <t>LICENCENUMEBRWARNING:::Lic 1A+15N+1A OR 9N+1A OR9-10N OR1A+15N OR1A+16N OR1A+5-9alpha/numeric or spacesOR 8numeric+(MAorAC)</t>
  </si>
  <si>
    <t>A1234567890</t>
  </si>
  <si>
    <t>eleCLADvrUpdate</t>
  </si>
  <si>
    <t>eleCLADvrEditDriverDetails</t>
  </si>
  <si>
    <t>eleCLADvrCancel</t>
  </si>
  <si>
    <t>eleCLADvrUpdateDriverDetails</t>
  </si>
  <si>
    <t>LICENCENUMEBRWARNINGUPDATE:::Lic 1A+15N+1A OR 9N+1A OR9-10N OR1A+15N OR1A+16N OR1A+5-9alpha/numeric or spacesOR 8numeric+(MAorAC)</t>
  </si>
  <si>
    <t>DI_TC1_2_3</t>
  </si>
  <si>
    <t>CLA Policy</t>
  </si>
  <si>
    <t>147887873727532</t>
  </si>
  <si>
    <t>1Driver</t>
  </si>
  <si>
    <t>2Info</t>
  </si>
  <si>
    <t>FIRSTNAMELASTNAMEWARNING:::First character of First Name and Last Name must be alpha</t>
  </si>
  <si>
    <t>DOBWarning:::Driver with year of birth 1900 or prior not allowed</t>
  </si>
  <si>
    <t>DOBWarning:::Driver Date of Birth cannot be in the future</t>
  </si>
  <si>
    <t>DOBWarning:::Driver Date of Birth Cannot be less than 16 years from current Date</t>
  </si>
  <si>
    <t>edtCLADvrDOB</t>
  </si>
  <si>
    <t>11/11/2010</t>
  </si>
  <si>
    <t>11/11/2020</t>
  </si>
  <si>
    <t>11/11/1900</t>
  </si>
  <si>
    <t>TC88</t>
  </si>
  <si>
    <t>2614</t>
  </si>
  <si>
    <t>First</t>
  </si>
  <si>
    <t>Second</t>
  </si>
  <si>
    <t>CLICKDRIVERINFORECORD:::First</t>
  </si>
  <si>
    <t>READINGTABLEVALIDATION:::First</t>
  </si>
  <si>
    <t>TC89</t>
  </si>
  <si>
    <t>TC90</t>
  </si>
  <si>
    <t>TC91</t>
  </si>
  <si>
    <t>TC92</t>
  </si>
  <si>
    <t>TC93</t>
  </si>
  <si>
    <t>TC94</t>
  </si>
  <si>
    <t>TC95</t>
  </si>
  <si>
    <t>TC96</t>
  </si>
  <si>
    <t>TC97</t>
  </si>
  <si>
    <t>TC98</t>
  </si>
  <si>
    <t>TC99</t>
  </si>
  <si>
    <t>TC100</t>
  </si>
  <si>
    <t>TC101</t>
  </si>
  <si>
    <t>TC102</t>
  </si>
  <si>
    <t>TC103</t>
  </si>
  <si>
    <t>TC104</t>
  </si>
  <si>
    <t>TC105</t>
  </si>
  <si>
    <t>TC106</t>
  </si>
  <si>
    <t>TC107</t>
  </si>
  <si>
    <t>TC108</t>
  </si>
  <si>
    <t>TC109</t>
  </si>
  <si>
    <t>TC110</t>
  </si>
  <si>
    <t>TC111</t>
  </si>
  <si>
    <t>TC114</t>
  </si>
  <si>
    <t>TC115</t>
  </si>
  <si>
    <t>funSelectDriverFromTable</t>
  </si>
  <si>
    <t>Information</t>
  </si>
  <si>
    <t>eleCLADvrChangeActiveStatus</t>
  </si>
  <si>
    <t>eleCLADvrRemoveDriver</t>
  </si>
  <si>
    <t>REMOVEDRIVERWARNING:::You are about to permanently delete the driver and MVR, Press ok to proceed</t>
  </si>
  <si>
    <t>DUPLICATEDRIVERDETAILS:::The Driver information being added already exists on this policy Term. Please Cancel or Add another Driver</t>
  </si>
  <si>
    <t>eleCLADvrDriverDetailsCancel</t>
  </si>
  <si>
    <t>CLICKDRIVERINFORECORD:::Second</t>
  </si>
  <si>
    <t>edtCLADvrDateFirstLicenced</t>
  </si>
  <si>
    <t>DateFirstLicencedWarning:::Date First Licensed  cannot be in the future</t>
  </si>
  <si>
    <t>CHECKDEFAULTVALUESACTIVESTATUSANDDATEADDED:::Yes:::To Be Ordered</t>
  </si>
  <si>
    <t>2613</t>
  </si>
  <si>
    <t>PC_HIG_UC_Driver_information_TC07_Remove_Driver</t>
  </si>
  <si>
    <t>PC_HIG_UC_Driver_information_TC08_Active_Status</t>
  </si>
  <si>
    <t>eleCLADvrReturnToDriver</t>
  </si>
  <si>
    <t>ActiveToInactive</t>
  </si>
  <si>
    <t>InactiveToActive</t>
  </si>
  <si>
    <t>REMOVEDRIVER:::First</t>
  </si>
  <si>
    <t>3015,3016,2974</t>
  </si>
  <si>
    <t>PC_HIG_UC_Driver_information_TC011_TC12,TC27</t>
  </si>
  <si>
    <t>2534,2541,2572,2574,2575,2578,3016,2974,2992</t>
  </si>
  <si>
    <t>PC_HIG_UC_Driver_information_TC01_TC02_TC03_TC04_TC05_TC06_TC12_TC27_TC28</t>
  </si>
  <si>
    <t>03/07/1995</t>
  </si>
  <si>
    <t>147921805248554</t>
  </si>
  <si>
    <t>147922147432411</t>
  </si>
  <si>
    <t>46WECAA00RF</t>
  </si>
  <si>
    <t>147922269795007</t>
  </si>
  <si>
    <t>147922276933482</t>
  </si>
  <si>
    <t>147922285028781</t>
  </si>
  <si>
    <t>MANCHESTER</t>
  </si>
  <si>
    <t>ARKADELPHIA</t>
  </si>
  <si>
    <t>zedCity</t>
  </si>
  <si>
    <t>zedZipCode</t>
  </si>
  <si>
    <t>eleCLADvrPolicyNumber</t>
  </si>
  <si>
    <t>TC3_2</t>
  </si>
  <si>
    <t>PolicyNumber:::TestData</t>
  </si>
  <si>
    <t>147930783824226</t>
  </si>
  <si>
    <t>147931021118821</t>
  </si>
  <si>
    <t>46WECAA00SI</t>
  </si>
  <si>
    <t>147931040318608</t>
  </si>
  <si>
    <t>46WECAA00SJ</t>
  </si>
  <si>
    <t>46WECAA00SL</t>
  </si>
  <si>
    <t>147931073564756</t>
  </si>
  <si>
    <t>46WECAA00SM</t>
  </si>
  <si>
    <t>147931143451086</t>
  </si>
  <si>
    <t>147931152201796</t>
  </si>
  <si>
    <t>147931220542358</t>
  </si>
  <si>
    <t>46WECAA00SQ</t>
  </si>
  <si>
    <t>147931292848655</t>
  </si>
  <si>
    <t>147931301631046</t>
  </si>
  <si>
    <t>147931309933228</t>
  </si>
  <si>
    <t>147931455725711</t>
  </si>
  <si>
    <t>147931466391747</t>
  </si>
  <si>
    <t>147931478069106</t>
  </si>
  <si>
    <t>147931488752690</t>
  </si>
  <si>
    <t>147931499257225</t>
  </si>
  <si>
    <t>147931509604906</t>
  </si>
  <si>
    <t>46WECAA00SR</t>
  </si>
  <si>
    <t>eleSameAddressAs</t>
  </si>
  <si>
    <t>eleAccountHolder</t>
  </si>
  <si>
    <t>eleAccountAddress</t>
  </si>
  <si>
    <t>147936639984376</t>
  </si>
  <si>
    <t>TC19_3</t>
  </si>
  <si>
    <t>147936681901004</t>
  </si>
  <si>
    <t>Missing WorkFlow_1</t>
  </si>
  <si>
    <t>MWI</t>
  </si>
  <si>
    <t>QPBSC</t>
  </si>
  <si>
    <t>QPBMM</t>
  </si>
  <si>
    <t>QPB_SC</t>
  </si>
  <si>
    <t>SCQPB</t>
  </si>
  <si>
    <t>lstQPBPSProposalType</t>
  </si>
  <si>
    <t>147939251573782</t>
  </si>
  <si>
    <t>46WECAA00TZ</t>
  </si>
  <si>
    <t>147939394361047</t>
  </si>
  <si>
    <t>46WECAA00U2</t>
  </si>
  <si>
    <t>su</t>
  </si>
  <si>
    <t>kmanubolu</t>
  </si>
  <si>
    <t>India123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</si>
</sst>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Red]0"/>
  </numFmts>
  <fonts count="11" x14ac:knownFonts="1">
    <font>
      <sz val="11"/>
      <color theme="1"/>
      <name val="Calibri"/>
      <family val="2"/>
      <scheme val="minor"/>
    </font>
    <font>
      <b/>
      <sz val="11"/>
      <color indexed="62"/>
      <name val="Calibri"/>
      <family val="2"/>
    </font>
    <font>
      <b/>
      <sz val="11"/>
      <color theme="1"/>
      <name val="Calibri"/>
      <family val="2"/>
    </font>
    <font>
      <b/>
      <sz val="11"/>
      <color theme="1"/>
      <name val="Calibri"/>
      <family val="2"/>
      <scheme val="minor"/>
    </font>
    <font>
      <sz val="10"/>
      <color rgb="FF333A3F"/>
      <name val="Arial"/>
      <family val="2"/>
    </font>
    <font>
      <sz val="11"/>
      <name val="Calibri"/>
      <family val="2"/>
      <scheme val="minor"/>
    </font>
    <font>
      <b/>
      <sz val="11"/>
      <name val="Calibri"/>
      <family val="2"/>
    </font>
    <font>
      <sz val="11"/>
      <color theme="1"/>
      <name val="Calibri"/>
      <family val="2"/>
    </font>
    <font>
      <sz val="10"/>
      <color rgb="FF232323"/>
      <name val="Arial"/>
      <family val="2"/>
    </font>
    <font>
      <sz val="11"/>
      <color rgb="FF000000"/>
      <name val="Calibri"/>
      <family val="2"/>
      <scheme val="minor"/>
    </font>
    <font>
      <sz val="11"/>
      <color theme="0"/>
      <name val="Calibri"/>
      <family val="2"/>
      <scheme val="minor"/>
    </font>
  </fonts>
  <fills count="4">
    <fill>
      <patternFill patternType="none"/>
    </fill>
    <fill>
      <patternFill patternType="gray125"/>
    </fill>
    <fill>
      <patternFill patternType="solid">
        <fgColor theme="0"/>
        <bgColor indexed="64"/>
      </patternFill>
    </fill>
    <fill>
      <patternFill patternType="solid">
        <fgColor rgb="FFFFFFFF"/>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rgb="FFEDEDED"/>
      </right>
      <top/>
      <bottom style="medium">
        <color rgb="FFEDEDED"/>
      </bottom>
      <diagonal/>
    </border>
    <border>
      <left style="thin">
        <color indexed="64"/>
      </left>
      <right style="thin">
        <color indexed="64"/>
      </right>
      <top/>
      <bottom/>
      <diagonal/>
    </border>
  </borders>
  <cellStyleXfs count="1">
    <xf numFmtId="0" fontId="0" fillId="0" borderId="0"/>
  </cellStyleXfs>
  <cellXfs count="61">
    <xf numFmtId="0" fontId="0" fillId="0" borderId="0" xfId="0"/>
    <xf numFmtId="0" fontId="0" fillId="2" borderId="0" xfId="0" applyFill="1" applyBorder="1"/>
    <xf numFmtId="0" fontId="0" fillId="2" borderId="1" xfId="0" applyFill="1" applyBorder="1"/>
    <xf numFmtId="0" fontId="1" fillId="2" borderId="0" xfId="0" applyFont="1" applyFill="1" applyBorder="1" applyAlignment="1">
      <alignment horizontal="left"/>
    </xf>
    <xf numFmtId="0" fontId="0" fillId="2" borderId="1" xfId="0" applyFont="1" applyFill="1" applyBorder="1"/>
    <xf numFmtId="0" fontId="2" fillId="2" borderId="1" xfId="0" applyFont="1" applyFill="1" applyBorder="1" applyAlignment="1">
      <alignment horizontal="left"/>
    </xf>
    <xf numFmtId="0" fontId="0" fillId="2" borderId="1" xfId="0" applyNumberFormat="1" applyFill="1" applyBorder="1"/>
    <xf numFmtId="0" fontId="3" fillId="2" borderId="1" xfId="0" applyFont="1" applyFill="1" applyBorder="1" applyAlignment="1">
      <alignment horizontal="center"/>
    </xf>
    <xf numFmtId="0" fontId="3" fillId="2" borderId="0" xfId="0" applyFont="1" applyFill="1" applyBorder="1" applyAlignment="1">
      <alignment horizontal="center"/>
    </xf>
    <xf numFmtId="0" fontId="3" fillId="2" borderId="1" xfId="0" applyFont="1" applyFill="1" applyBorder="1"/>
    <xf numFmtId="0" fontId="3" fillId="2" borderId="1" xfId="0" applyNumberFormat="1" applyFont="1" applyFill="1" applyBorder="1"/>
    <xf numFmtId="0" fontId="0" fillId="2" borderId="1" xfId="0" quotePrefix="1" applyNumberFormat="1" applyFill="1" applyBorder="1"/>
    <xf numFmtId="0" fontId="0" fillId="0" borderId="1" xfId="0" applyBorder="1"/>
    <xf numFmtId="0" fontId="0" fillId="2" borderId="1" xfId="0" quotePrefix="1" applyFill="1" applyBorder="1"/>
    <xf numFmtId="0" fontId="0" fillId="2" borderId="0" xfId="0" applyFill="1"/>
    <xf numFmtId="0" fontId="0" fillId="0" borderId="1" xfId="0" applyBorder="1" applyAlignment="1">
      <alignment horizontal="left"/>
    </xf>
    <xf numFmtId="0" fontId="0" fillId="0" borderId="0" xfId="0" applyAlignment="1">
      <alignment vertical="top"/>
    </xf>
    <xf numFmtId="0" fontId="0" fillId="0" borderId="0" xfId="0" quotePrefix="1" applyAlignment="1">
      <alignment horizontal="left" vertical="top"/>
    </xf>
    <xf numFmtId="0" fontId="1" fillId="2" borderId="1" xfId="0" applyFont="1" applyFill="1" applyBorder="1" applyAlignment="1">
      <alignment horizontal="left"/>
    </xf>
    <xf numFmtId="0" fontId="0" fillId="0" borderId="1" xfId="0" quotePrefix="1" applyBorder="1"/>
    <xf numFmtId="0" fontId="5" fillId="2" borderId="1" xfId="0" applyFont="1" applyFill="1" applyBorder="1"/>
    <xf numFmtId="0" fontId="5" fillId="2" borderId="0" xfId="0" applyFont="1" applyFill="1" applyBorder="1"/>
    <xf numFmtId="0" fontId="0" fillId="0" borderId="1" xfId="0" quotePrefix="1" applyNumberFormat="1" applyBorder="1"/>
    <xf numFmtId="0" fontId="6" fillId="2" borderId="1" xfId="0" applyFont="1" applyFill="1" applyBorder="1" applyAlignment="1">
      <alignment horizontal="left"/>
    </xf>
    <xf numFmtId="0" fontId="4" fillId="0" borderId="1" xfId="0" quotePrefix="1" applyFont="1" applyBorder="1" applyAlignment="1">
      <alignment vertical="center"/>
    </xf>
    <xf numFmtId="0" fontId="0" fillId="0" borderId="1" xfId="0" applyBorder="1" applyAlignment="1">
      <alignment vertical="top"/>
    </xf>
    <xf numFmtId="0" fontId="0" fillId="2" borderId="1" xfId="0" applyFill="1" applyBorder="1" applyAlignment="1"/>
    <xf numFmtId="0" fontId="0" fillId="2" borderId="1" xfId="0" applyNumberFormat="1" applyFill="1" applyBorder="1" applyAlignment="1"/>
    <xf numFmtId="0" fontId="4" fillId="0" borderId="1" xfId="0" quotePrefix="1" applyFont="1" applyBorder="1"/>
    <xf numFmtId="0" fontId="0" fillId="2" borderId="1" xfId="0" applyNumberFormat="1" applyFill="1" applyBorder="1" applyAlignment="1">
      <alignment wrapText="1"/>
    </xf>
    <xf numFmtId="164" fontId="0" fillId="0" borderId="1" xfId="0" applyNumberFormat="1" applyBorder="1" applyAlignment="1">
      <alignment horizontal="left"/>
    </xf>
    <xf numFmtId="0" fontId="5" fillId="2" borderId="1" xfId="0" quotePrefix="1" applyFont="1" applyFill="1" applyBorder="1"/>
    <xf numFmtId="164" fontId="0" fillId="0" borderId="1" xfId="0" quotePrefix="1" applyNumberFormat="1" applyBorder="1" applyAlignment="1">
      <alignment horizontal="left"/>
    </xf>
    <xf numFmtId="0" fontId="0" fillId="2" borderId="1" xfId="0" applyFill="1" applyBorder="1" applyAlignment="1">
      <alignment wrapText="1"/>
    </xf>
    <xf numFmtId="0" fontId="0" fillId="2" borderId="1" xfId="0" quotePrefix="1" applyFill="1" applyBorder="1" applyAlignment="1">
      <alignment horizontal="left"/>
    </xf>
    <xf numFmtId="3" fontId="0" fillId="2" borderId="1" xfId="0" quotePrefix="1" applyNumberFormat="1" applyFill="1" applyBorder="1"/>
    <xf numFmtId="0" fontId="7" fillId="2" borderId="1" xfId="0" applyFont="1" applyFill="1" applyBorder="1" applyAlignment="1">
      <alignment horizontal="left"/>
    </xf>
    <xf numFmtId="0" fontId="0" fillId="2" borderId="2" xfId="0" applyFill="1" applyBorder="1"/>
    <xf numFmtId="49" fontId="0" fillId="0" borderId="1" xfId="0" applyNumberFormat="1" applyBorder="1"/>
    <xf numFmtId="3" fontId="0" fillId="2" borderId="1" xfId="0" applyNumberFormat="1" applyFill="1" applyBorder="1"/>
    <xf numFmtId="0" fontId="0" fillId="2" borderId="1" xfId="0" applyFill="1" applyBorder="1" applyAlignment="1">
      <alignment horizontal="left"/>
    </xf>
    <xf numFmtId="0" fontId="8" fillId="0" borderId="1" xfId="0" applyFont="1" applyBorder="1" applyAlignment="1">
      <alignment vertical="center" wrapText="1"/>
    </xf>
    <xf numFmtId="0" fontId="8" fillId="0" borderId="2" xfId="0" applyFont="1" applyBorder="1" applyAlignment="1">
      <alignment vertical="center" wrapText="1"/>
    </xf>
    <xf numFmtId="0" fontId="0" fillId="2" borderId="1" xfId="0" applyFill="1" applyBorder="1" applyAlignment="1">
      <alignment vertical="center"/>
    </xf>
    <xf numFmtId="0" fontId="8" fillId="0" borderId="1" xfId="0" applyFont="1" applyBorder="1"/>
    <xf numFmtId="0" fontId="8" fillId="0" borderId="2" xfId="0" applyFont="1" applyBorder="1"/>
    <xf numFmtId="0" fontId="8" fillId="3" borderId="3" xfId="0" applyFont="1" applyFill="1" applyBorder="1" applyAlignment="1">
      <alignment vertical="top" wrapText="1"/>
    </xf>
    <xf numFmtId="0" fontId="8" fillId="0" borderId="0" xfId="0" applyFont="1"/>
    <xf numFmtId="0" fontId="0" fillId="2" borderId="0" xfId="0" applyFill="1" applyBorder="1" applyAlignment="1">
      <alignment vertical="center"/>
    </xf>
    <xf numFmtId="0" fontId="0" fillId="2" borderId="1" xfId="0" quotePrefix="1" applyFill="1" applyBorder="1" applyAlignment="1">
      <alignment vertical="center"/>
    </xf>
    <xf numFmtId="0" fontId="8" fillId="0" borderId="0" xfId="0" applyFont="1" applyAlignment="1">
      <alignment vertical="center" wrapText="1"/>
    </xf>
    <xf numFmtId="0" fontId="0" fillId="2" borderId="1" xfId="0" applyFill="1" applyBorder="1" applyAlignment="1">
      <alignment vertical="center" wrapText="1"/>
    </xf>
    <xf numFmtId="0" fontId="0" fillId="2" borderId="1" xfId="0" applyNumberFormat="1" applyFill="1" applyBorder="1" applyAlignment="1">
      <alignment vertical="center"/>
    </xf>
    <xf numFmtId="0" fontId="3" fillId="2" borderId="0" xfId="0" applyFont="1" applyFill="1"/>
    <xf numFmtId="0" fontId="1" fillId="2" borderId="2" xfId="0" applyFont="1" applyFill="1" applyBorder="1" applyAlignment="1">
      <alignment horizontal="left"/>
    </xf>
    <xf numFmtId="0" fontId="9" fillId="0" borderId="0" xfId="0" applyFont="1"/>
    <xf numFmtId="0" fontId="0" fillId="0" borderId="0" xfId="0" quotePrefix="1"/>
    <xf numFmtId="0" fontId="10" fillId="2" borderId="0" xfId="0" applyFont="1" applyFill="1"/>
    <xf numFmtId="0" fontId="4" fillId="0" borderId="1" xfId="0" applyFont="1" applyBorder="1"/>
    <xf numFmtId="14" fontId="0" fillId="2" borderId="1" xfId="0" quotePrefix="1" applyNumberFormat="1" applyFill="1" applyBorder="1"/>
    <xf numFmtId="0" fontId="0" fillId="2" borderId="4" xfId="0" applyFill="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hyperlink" Target="mailto:namakkal@1" TargetMode="External"/><Relationship Id="rId1" Type="http://schemas.openxmlformats.org/officeDocument/2006/relationships/hyperlink" Target="mailto:namakkal@1"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115"/>
  <sheetViews>
    <sheetView topLeftCell="N1" zoomScale="98" zoomScaleNormal="98" workbookViewId="0">
      <selection activeCell="U5" sqref="U5"/>
    </sheetView>
  </sheetViews>
  <sheetFormatPr defaultRowHeight="15" x14ac:dyDescent="0.25"/>
  <cols>
    <col min="1" max="1" width="7.140625" style="1" bestFit="1" customWidth="1" collapsed="1"/>
    <col min="2" max="2" width="43.5703125" style="1" bestFit="1" customWidth="1" collapsed="1"/>
    <col min="3" max="3" width="9.42578125" style="1" bestFit="1" customWidth="1" collapsed="1"/>
    <col min="4" max="4" width="55.7109375" style="1" bestFit="1" customWidth="1" collapsed="1"/>
    <col min="5" max="5" width="9.7109375" style="1" bestFit="1" customWidth="1" collapsed="1"/>
    <col min="6" max="6" width="9" style="1" bestFit="1" customWidth="1" collapsed="1"/>
    <col min="7" max="7" width="6.42578125" style="1" bestFit="1" customWidth="1" collapsed="1"/>
    <col min="8" max="8" width="7.140625" style="1" customWidth="1" collapsed="1"/>
    <col min="9" max="10" width="7" style="1" customWidth="1" collapsed="1"/>
    <col min="11" max="11" width="16.140625" style="1" bestFit="1" customWidth="1" collapsed="1"/>
    <col min="12" max="12" width="18.5703125" style="1" bestFit="1" customWidth="1" collapsed="1"/>
    <col min="13" max="13" width="25.28515625" style="1" bestFit="1" customWidth="1" collapsed="1"/>
    <col min="14" max="14" width="27" style="1" bestFit="1" customWidth="1" collapsed="1"/>
    <col min="15" max="15" width="25.5703125" style="1" bestFit="1" customWidth="1" collapsed="1"/>
    <col min="16" max="18" width="14.28515625" style="1" bestFit="1" customWidth="1" collapsed="1"/>
    <col min="19" max="19" width="13.42578125" style="1" bestFit="1" customWidth="1" collapsed="1"/>
    <col min="20" max="22" width="12.85546875" style="1" bestFit="1" customWidth="1" collapsed="1"/>
    <col min="23" max="23" width="13.5703125" style="1" bestFit="1" customWidth="1" collapsed="1"/>
    <col min="24" max="24" width="22.42578125" style="1" customWidth="1" collapsed="1"/>
    <col min="25" max="25" width="25.140625" style="1" bestFit="1" customWidth="1" collapsed="1"/>
    <col min="26" max="27" width="13.5703125" style="1" bestFit="1" customWidth="1" collapsed="1"/>
    <col min="28" max="16384" width="9.140625" style="1" collapsed="1"/>
  </cols>
  <sheetData>
    <row r="1" spans="1:27" s="8" customFormat="1" x14ac:dyDescent="0.25">
      <c r="A1" s="9" t="s">
        <v>0</v>
      </c>
      <c r="B1" s="7" t="s">
        <v>5</v>
      </c>
      <c r="C1" s="7" t="s">
        <v>6</v>
      </c>
      <c r="D1" s="7" t="s">
        <v>4</v>
      </c>
      <c r="E1" s="7" t="s">
        <v>7</v>
      </c>
      <c r="F1" s="7" t="s">
        <v>622</v>
      </c>
      <c r="G1" s="7" t="s">
        <v>8</v>
      </c>
      <c r="H1" s="7" t="s">
        <v>349</v>
      </c>
      <c r="I1" s="7" t="s">
        <v>604</v>
      </c>
      <c r="J1" s="7" t="s">
        <v>586</v>
      </c>
      <c r="K1" s="7" t="s">
        <v>700</v>
      </c>
      <c r="L1" s="7" t="s">
        <v>701</v>
      </c>
      <c r="M1" s="7" t="s">
        <v>702</v>
      </c>
      <c r="N1" s="7" t="s">
        <v>703</v>
      </c>
      <c r="O1" s="7" t="s">
        <v>704</v>
      </c>
      <c r="P1" s="7" t="s">
        <v>705</v>
      </c>
      <c r="Q1" s="7" t="s">
        <v>706</v>
      </c>
      <c r="R1" s="7" t="s">
        <v>707</v>
      </c>
      <c r="S1" s="7" t="s">
        <v>708</v>
      </c>
      <c r="T1" s="7" t="s">
        <v>709</v>
      </c>
      <c r="U1" s="7" t="s">
        <v>710</v>
      </c>
      <c r="V1" s="7" t="s">
        <v>711</v>
      </c>
      <c r="W1" s="7" t="s">
        <v>712</v>
      </c>
      <c r="X1" s="7" t="s">
        <v>713</v>
      </c>
      <c r="Y1" s="7" t="s">
        <v>714</v>
      </c>
      <c r="Z1" s="7" t="s">
        <v>715</v>
      </c>
      <c r="AA1" s="7" t="s">
        <v>715</v>
      </c>
    </row>
    <row r="2" spans="1:27" x14ac:dyDescent="0.25">
      <c r="A2" s="2" t="s">
        <v>1</v>
      </c>
      <c r="B2" s="2">
        <v>114</v>
      </c>
      <c r="C2" s="2">
        <v>1709</v>
      </c>
      <c r="D2" s="2" t="s">
        <v>15</v>
      </c>
      <c r="E2" s="2" t="s">
        <v>3</v>
      </c>
      <c r="F2" s="2" t="s">
        <v>632</v>
      </c>
      <c r="G2" s="12"/>
      <c r="H2" s="2"/>
      <c r="I2" s="2"/>
      <c r="J2" s="2"/>
      <c r="K2" s="2" t="s">
        <v>300</v>
      </c>
      <c r="L2" s="2"/>
      <c r="M2" s="2"/>
      <c r="N2" s="2"/>
      <c r="O2" s="2"/>
      <c r="P2" s="2"/>
      <c r="Q2" s="2"/>
      <c r="R2" s="2"/>
      <c r="S2" s="2"/>
      <c r="T2" s="2"/>
      <c r="U2" s="2"/>
      <c r="V2" s="2"/>
      <c r="W2" s="2"/>
      <c r="X2" s="2"/>
      <c r="Y2" s="2"/>
      <c r="Z2" s="2"/>
      <c r="AA2" s="2"/>
    </row>
    <row r="3" spans="1:27" x14ac:dyDescent="0.25">
      <c r="A3" s="2" t="s">
        <v>2</v>
      </c>
      <c r="B3" s="2">
        <v>115</v>
      </c>
      <c r="C3" s="2">
        <v>301</v>
      </c>
      <c r="D3" s="2" t="s">
        <v>18</v>
      </c>
      <c r="E3" s="2" t="s">
        <v>93</v>
      </c>
      <c r="F3" s="2" t="s">
        <v>632</v>
      </c>
      <c r="G3" s="2"/>
      <c r="H3" s="2"/>
      <c r="I3" s="2"/>
      <c r="J3" s="2"/>
      <c r="K3" s="2" t="s">
        <v>300</v>
      </c>
      <c r="L3" s="2" t="s">
        <v>36</v>
      </c>
      <c r="M3" s="2" t="s">
        <v>10</v>
      </c>
      <c r="N3" s="2" t="s">
        <v>11</v>
      </c>
      <c r="O3" s="2" t="s">
        <v>12</v>
      </c>
      <c r="P3" s="2" t="s">
        <v>128</v>
      </c>
      <c r="Q3" s="2" t="s">
        <v>129</v>
      </c>
      <c r="R3" s="2" t="s">
        <v>13</v>
      </c>
      <c r="S3" s="2" t="s">
        <v>14</v>
      </c>
      <c r="T3" s="2" t="s">
        <v>130</v>
      </c>
      <c r="U3" s="2" t="s">
        <v>131</v>
      </c>
      <c r="V3" s="2" t="s">
        <v>17</v>
      </c>
      <c r="W3" s="2"/>
      <c r="X3" s="2"/>
      <c r="Y3" s="2"/>
      <c r="Z3" s="2"/>
      <c r="AA3" s="2"/>
    </row>
    <row r="4" spans="1:27" x14ac:dyDescent="0.25">
      <c r="A4" s="2" t="s">
        <v>16</v>
      </c>
      <c r="B4" s="2">
        <v>116</v>
      </c>
      <c r="C4" s="2">
        <v>301</v>
      </c>
      <c r="D4" s="2" t="s">
        <v>698</v>
      </c>
      <c r="E4" s="2" t="s">
        <v>93</v>
      </c>
      <c r="F4" s="2" t="s">
        <v>632</v>
      </c>
      <c r="G4" s="2"/>
      <c r="H4" s="2"/>
      <c r="I4" s="2"/>
      <c r="J4" s="2"/>
      <c r="K4" s="2" t="s">
        <v>300</v>
      </c>
      <c r="L4" s="2" t="s">
        <v>9</v>
      </c>
      <c r="M4" s="2" t="s">
        <v>15</v>
      </c>
      <c r="N4" s="2" t="s">
        <v>245</v>
      </c>
      <c r="O4" s="2" t="s">
        <v>10</v>
      </c>
      <c r="P4" s="2" t="s">
        <v>11</v>
      </c>
      <c r="Q4" s="2" t="s">
        <v>12</v>
      </c>
      <c r="R4" s="2" t="s">
        <v>128</v>
      </c>
      <c r="S4" s="2" t="s">
        <v>129</v>
      </c>
      <c r="T4" s="2" t="s">
        <v>13</v>
      </c>
      <c r="U4" s="2" t="s">
        <v>14</v>
      </c>
      <c r="V4" s="2" t="s">
        <v>130</v>
      </c>
      <c r="W4" s="2" t="s">
        <v>131</v>
      </c>
      <c r="X4" s="2" t="s">
        <v>17</v>
      </c>
      <c r="Y4" s="2"/>
      <c r="Z4" s="2"/>
      <c r="AA4" s="2"/>
    </row>
    <row r="5" spans="1:27" x14ac:dyDescent="0.25">
      <c r="A5" s="2" t="s">
        <v>691</v>
      </c>
      <c r="B5" s="2">
        <v>129</v>
      </c>
      <c r="C5" s="2">
        <v>301</v>
      </c>
      <c r="D5" s="2" t="s">
        <v>699</v>
      </c>
      <c r="E5" s="2" t="s">
        <v>93</v>
      </c>
      <c r="F5" s="2" t="s">
        <v>632</v>
      </c>
      <c r="G5" s="2"/>
      <c r="H5" s="2"/>
      <c r="I5" s="2"/>
      <c r="J5" s="2"/>
      <c r="K5" s="2" t="s">
        <v>300</v>
      </c>
      <c r="L5" s="2" t="s">
        <v>9</v>
      </c>
      <c r="M5" s="2" t="s">
        <v>15</v>
      </c>
      <c r="N5" s="2" t="s">
        <v>245</v>
      </c>
      <c r="O5" s="2" t="s">
        <v>10</v>
      </c>
      <c r="P5" s="2" t="s">
        <v>11</v>
      </c>
      <c r="Q5" s="2" t="s">
        <v>12</v>
      </c>
      <c r="R5" s="2" t="s">
        <v>128</v>
      </c>
      <c r="S5" s="2" t="s">
        <v>129</v>
      </c>
      <c r="T5" s="2" t="s">
        <v>13</v>
      </c>
      <c r="U5" s="2" t="s">
        <v>14</v>
      </c>
      <c r="V5" s="2" t="s">
        <v>130</v>
      </c>
      <c r="W5" s="2" t="s">
        <v>131</v>
      </c>
      <c r="X5" s="2" t="s">
        <v>17</v>
      </c>
      <c r="Y5" s="2"/>
      <c r="Z5" s="2"/>
      <c r="AA5" s="2"/>
    </row>
    <row r="6" spans="1:27" x14ac:dyDescent="0.25">
      <c r="A6" s="2" t="s">
        <v>1161</v>
      </c>
      <c r="B6" s="2">
        <v>115</v>
      </c>
      <c r="C6" s="2">
        <v>301</v>
      </c>
      <c r="D6" s="2" t="s">
        <v>1084</v>
      </c>
      <c r="E6" s="2" t="s">
        <v>93</v>
      </c>
      <c r="F6" s="2" t="s">
        <v>648</v>
      </c>
      <c r="G6" s="2"/>
      <c r="H6" s="2"/>
      <c r="I6" s="2"/>
      <c r="J6" s="2"/>
      <c r="K6" s="2" t="s">
        <v>300</v>
      </c>
      <c r="L6" s="2" t="s">
        <v>9</v>
      </c>
      <c r="M6" s="2" t="s">
        <v>15</v>
      </c>
      <c r="N6" s="2" t="s">
        <v>245</v>
      </c>
      <c r="O6" s="2" t="s">
        <v>10</v>
      </c>
      <c r="P6" s="2" t="s">
        <v>644</v>
      </c>
      <c r="Q6" s="2" t="s">
        <v>645</v>
      </c>
      <c r="R6" s="2" t="s">
        <v>646</v>
      </c>
      <c r="S6" s="2" t="s">
        <v>647</v>
      </c>
      <c r="T6" s="2" t="s">
        <v>17</v>
      </c>
      <c r="U6" s="2"/>
      <c r="V6" s="2"/>
      <c r="W6" s="2"/>
      <c r="X6" s="2"/>
      <c r="Y6" s="2"/>
      <c r="Z6" s="2"/>
      <c r="AA6" s="2"/>
    </row>
    <row r="7" spans="1:27" x14ac:dyDescent="0.25">
      <c r="A7" s="2" t="s">
        <v>333</v>
      </c>
      <c r="B7" s="2">
        <v>115</v>
      </c>
      <c r="C7" s="2">
        <v>1709</v>
      </c>
      <c r="D7" s="2" t="s">
        <v>334</v>
      </c>
      <c r="E7" s="2" t="s">
        <v>93</v>
      </c>
      <c r="F7" s="2" t="s">
        <v>623</v>
      </c>
      <c r="G7" s="2"/>
      <c r="H7" s="2" t="s">
        <v>626</v>
      </c>
      <c r="I7" s="2"/>
      <c r="J7" s="2"/>
      <c r="K7" s="2" t="s">
        <v>300</v>
      </c>
      <c r="L7" s="2" t="s">
        <v>9</v>
      </c>
      <c r="M7" s="2" t="s">
        <v>15</v>
      </c>
      <c r="N7" s="2" t="s">
        <v>245</v>
      </c>
      <c r="O7" s="2" t="s">
        <v>10</v>
      </c>
      <c r="P7" s="2" t="s">
        <v>11</v>
      </c>
      <c r="Q7" s="2" t="s">
        <v>12</v>
      </c>
      <c r="R7" s="2" t="s">
        <v>128</v>
      </c>
      <c r="S7" s="2" t="s">
        <v>129</v>
      </c>
      <c r="T7" s="2" t="s">
        <v>13</v>
      </c>
      <c r="U7" s="2" t="s">
        <v>14</v>
      </c>
      <c r="V7" s="2" t="s">
        <v>130</v>
      </c>
      <c r="W7" s="2" t="s">
        <v>131</v>
      </c>
      <c r="X7" s="2" t="s">
        <v>135</v>
      </c>
      <c r="Y7" s="2" t="s">
        <v>590</v>
      </c>
      <c r="Z7" s="2" t="s">
        <v>17</v>
      </c>
      <c r="AA7" s="2"/>
    </row>
    <row r="8" spans="1:27" x14ac:dyDescent="0.25">
      <c r="A8" s="2" t="s">
        <v>335</v>
      </c>
      <c r="B8" s="4">
        <v>114</v>
      </c>
      <c r="C8" s="2">
        <v>1709</v>
      </c>
      <c r="D8" s="2" t="s">
        <v>336</v>
      </c>
      <c r="E8" s="2" t="s">
        <v>93</v>
      </c>
      <c r="F8" s="2" t="s">
        <v>623</v>
      </c>
      <c r="G8" s="2"/>
      <c r="H8" s="2" t="s">
        <v>626</v>
      </c>
      <c r="I8" s="2"/>
      <c r="J8" s="2"/>
      <c r="K8" s="2" t="s">
        <v>300</v>
      </c>
      <c r="L8" s="2" t="s">
        <v>9</v>
      </c>
      <c r="M8" s="2" t="s">
        <v>15</v>
      </c>
      <c r="N8" s="2" t="s">
        <v>245</v>
      </c>
      <c r="O8" s="2" t="s">
        <v>135</v>
      </c>
      <c r="P8" s="2" t="s">
        <v>17</v>
      </c>
      <c r="Q8" s="2"/>
      <c r="R8" s="2"/>
      <c r="S8" s="2"/>
      <c r="T8" s="2"/>
      <c r="U8" s="2"/>
      <c r="V8" s="2"/>
      <c r="W8" s="2"/>
      <c r="X8" s="2"/>
      <c r="Y8" s="2"/>
      <c r="Z8" s="2"/>
      <c r="AA8" s="2"/>
    </row>
    <row r="9" spans="1:27" x14ac:dyDescent="0.25">
      <c r="A9" s="2" t="s">
        <v>337</v>
      </c>
      <c r="B9" s="4">
        <v>114</v>
      </c>
      <c r="C9" s="2">
        <v>1709</v>
      </c>
      <c r="D9" s="2" t="s">
        <v>401</v>
      </c>
      <c r="E9" s="2" t="s">
        <v>93</v>
      </c>
      <c r="F9" s="2" t="s">
        <v>623</v>
      </c>
      <c r="G9" s="2"/>
      <c r="H9" s="2" t="s">
        <v>626</v>
      </c>
      <c r="I9" s="2"/>
      <c r="J9" s="2"/>
      <c r="K9" s="2" t="s">
        <v>300</v>
      </c>
      <c r="L9" s="2" t="s">
        <v>9</v>
      </c>
      <c r="M9" s="2" t="s">
        <v>15</v>
      </c>
      <c r="N9" s="2" t="s">
        <v>135</v>
      </c>
      <c r="O9" s="20" t="s">
        <v>17</v>
      </c>
      <c r="P9" s="2"/>
      <c r="Q9" s="2"/>
      <c r="R9" s="2"/>
      <c r="S9" s="2"/>
      <c r="T9" s="2"/>
      <c r="U9" s="2"/>
      <c r="V9" s="2"/>
      <c r="W9" s="2"/>
      <c r="X9" s="2"/>
      <c r="Y9" s="2"/>
      <c r="Z9" s="2"/>
      <c r="AA9" s="2"/>
    </row>
    <row r="10" spans="1:27" x14ac:dyDescent="0.25">
      <c r="A10" s="2" t="s">
        <v>338</v>
      </c>
      <c r="B10" s="4">
        <v>114</v>
      </c>
      <c r="C10" s="2">
        <v>1709</v>
      </c>
      <c r="D10" s="2" t="s">
        <v>402</v>
      </c>
      <c r="E10" s="2" t="s">
        <v>93</v>
      </c>
      <c r="F10" s="2" t="s">
        <v>623</v>
      </c>
      <c r="G10" s="2"/>
      <c r="H10" s="2" t="s">
        <v>626</v>
      </c>
      <c r="I10" s="2"/>
      <c r="J10" s="2"/>
      <c r="K10" s="2" t="s">
        <v>300</v>
      </c>
      <c r="L10" s="2" t="s">
        <v>9</v>
      </c>
      <c r="M10" s="2" t="s">
        <v>15</v>
      </c>
      <c r="N10" s="2" t="s">
        <v>245</v>
      </c>
      <c r="O10" s="2" t="s">
        <v>135</v>
      </c>
      <c r="P10" s="20" t="s">
        <v>17</v>
      </c>
      <c r="Q10" s="2"/>
      <c r="R10" s="2"/>
      <c r="S10" s="2"/>
      <c r="T10" s="2"/>
      <c r="U10" s="2"/>
      <c r="V10" s="2"/>
      <c r="W10" s="2"/>
      <c r="X10" s="2"/>
      <c r="Y10" s="2"/>
      <c r="Z10" s="2"/>
      <c r="AA10" s="2"/>
    </row>
    <row r="11" spans="1:27" x14ac:dyDescent="0.25">
      <c r="A11" s="2" t="s">
        <v>339</v>
      </c>
      <c r="B11" s="4">
        <v>114</v>
      </c>
      <c r="C11" s="2">
        <v>1709</v>
      </c>
      <c r="D11" s="2" t="s">
        <v>341</v>
      </c>
      <c r="E11" s="2" t="s">
        <v>93</v>
      </c>
      <c r="F11" s="2" t="s">
        <v>623</v>
      </c>
      <c r="G11" s="2"/>
      <c r="H11" s="2" t="s">
        <v>626</v>
      </c>
      <c r="I11" s="2"/>
      <c r="J11" s="2"/>
      <c r="K11" s="2" t="s">
        <v>300</v>
      </c>
      <c r="L11" s="2" t="s">
        <v>9</v>
      </c>
      <c r="M11" s="2" t="s">
        <v>15</v>
      </c>
      <c r="N11" s="2" t="s">
        <v>257</v>
      </c>
      <c r="O11" s="2" t="s">
        <v>135</v>
      </c>
      <c r="P11" s="2" t="s">
        <v>17</v>
      </c>
      <c r="Q11" s="2"/>
      <c r="R11" s="2"/>
      <c r="S11" s="2"/>
      <c r="T11" s="2"/>
      <c r="U11" s="2"/>
      <c r="V11" s="2"/>
      <c r="W11" s="2"/>
      <c r="X11" s="2"/>
      <c r="Y11" s="2"/>
      <c r="Z11" s="2"/>
      <c r="AA11" s="2"/>
    </row>
    <row r="12" spans="1:27" x14ac:dyDescent="0.25">
      <c r="A12" s="2" t="s">
        <v>1189</v>
      </c>
      <c r="B12" s="4">
        <v>114</v>
      </c>
      <c r="C12" s="2">
        <v>1709</v>
      </c>
      <c r="D12" s="2" t="s">
        <v>342</v>
      </c>
      <c r="E12" s="2" t="s">
        <v>93</v>
      </c>
      <c r="F12" s="2" t="s">
        <v>623</v>
      </c>
      <c r="G12" s="2"/>
      <c r="H12" s="2" t="s">
        <v>626</v>
      </c>
      <c r="I12" s="2"/>
      <c r="J12" s="2"/>
      <c r="K12" s="2" t="s">
        <v>300</v>
      </c>
      <c r="L12" s="2" t="s">
        <v>9</v>
      </c>
      <c r="M12" s="2" t="s">
        <v>15</v>
      </c>
      <c r="N12" s="2" t="s">
        <v>257</v>
      </c>
      <c r="O12" s="2" t="s">
        <v>135</v>
      </c>
      <c r="P12" s="2" t="s">
        <v>17</v>
      </c>
      <c r="Q12" s="2"/>
      <c r="R12" s="2"/>
      <c r="S12" s="2"/>
      <c r="T12" s="2"/>
      <c r="U12" s="2"/>
      <c r="V12" s="2"/>
      <c r="W12" s="2"/>
      <c r="X12" s="2"/>
      <c r="Y12" s="2"/>
      <c r="Z12" s="2"/>
      <c r="AA12" s="2"/>
    </row>
    <row r="13" spans="1:27" x14ac:dyDescent="0.25">
      <c r="A13" s="2" t="s">
        <v>136</v>
      </c>
      <c r="B13" s="13">
        <v>173</v>
      </c>
      <c r="C13" s="2">
        <v>1709</v>
      </c>
      <c r="D13" s="2" t="s">
        <v>149</v>
      </c>
      <c r="E13" s="2" t="s">
        <v>93</v>
      </c>
      <c r="F13" s="2" t="s">
        <v>623</v>
      </c>
      <c r="G13" s="2"/>
      <c r="H13" s="2">
        <v>1</v>
      </c>
      <c r="I13" s="2" t="s">
        <v>661</v>
      </c>
      <c r="J13" s="2" t="s">
        <v>588</v>
      </c>
      <c r="K13" s="2" t="s">
        <v>300</v>
      </c>
      <c r="L13" s="2" t="s">
        <v>36</v>
      </c>
      <c r="M13" s="2" t="s">
        <v>135</v>
      </c>
      <c r="N13" s="2" t="s">
        <v>17</v>
      </c>
      <c r="O13" s="2"/>
      <c r="P13" s="2"/>
      <c r="Q13" s="2"/>
      <c r="R13" s="2"/>
      <c r="S13" s="2"/>
      <c r="T13" s="2"/>
      <c r="U13" s="2"/>
      <c r="V13" s="2"/>
      <c r="W13" s="2"/>
      <c r="X13" s="2"/>
      <c r="Y13" s="2"/>
      <c r="Z13" s="2"/>
      <c r="AA13" s="2"/>
    </row>
    <row r="14" spans="1:27" x14ac:dyDescent="0.25">
      <c r="A14" s="2" t="s">
        <v>155</v>
      </c>
      <c r="B14" s="13" t="s">
        <v>591</v>
      </c>
      <c r="C14" s="2">
        <v>1709</v>
      </c>
      <c r="D14" s="2" t="s">
        <v>165</v>
      </c>
      <c r="E14" s="2" t="s">
        <v>93</v>
      </c>
      <c r="F14" s="2" t="s">
        <v>623</v>
      </c>
      <c r="G14" s="2"/>
      <c r="H14" s="2">
        <v>1</v>
      </c>
      <c r="I14" s="2" t="s">
        <v>665</v>
      </c>
      <c r="J14" s="20" t="s">
        <v>588</v>
      </c>
      <c r="K14" s="2" t="s">
        <v>300</v>
      </c>
      <c r="L14" s="2" t="s">
        <v>36</v>
      </c>
      <c r="M14" s="2" t="s">
        <v>135</v>
      </c>
      <c r="N14" s="2" t="s">
        <v>590</v>
      </c>
      <c r="O14" s="2" t="s">
        <v>17</v>
      </c>
      <c r="P14" s="2"/>
      <c r="Q14" s="2"/>
      <c r="R14" s="2"/>
      <c r="S14" s="2"/>
      <c r="T14" s="2"/>
      <c r="U14" s="2"/>
      <c r="V14" s="2"/>
      <c r="W14" s="2"/>
      <c r="X14" s="2"/>
      <c r="Y14" s="2"/>
      <c r="Z14" s="2"/>
      <c r="AA14" s="2"/>
    </row>
    <row r="15" spans="1:27" x14ac:dyDescent="0.25">
      <c r="A15" s="2" t="s">
        <v>127</v>
      </c>
      <c r="B15" s="13" t="s">
        <v>605</v>
      </c>
      <c r="C15" s="2">
        <v>1709</v>
      </c>
      <c r="D15" s="2" t="s">
        <v>147</v>
      </c>
      <c r="E15" s="2" t="s">
        <v>93</v>
      </c>
      <c r="F15" s="2" t="s">
        <v>623</v>
      </c>
      <c r="G15" s="2"/>
      <c r="H15" s="2">
        <v>3</v>
      </c>
      <c r="I15" s="2" t="s">
        <v>667</v>
      </c>
      <c r="J15" s="2" t="s">
        <v>587</v>
      </c>
      <c r="K15" s="2" t="s">
        <v>300</v>
      </c>
      <c r="L15" s="2" t="s">
        <v>36</v>
      </c>
      <c r="M15" s="2" t="s">
        <v>135</v>
      </c>
      <c r="N15" s="2" t="s">
        <v>590</v>
      </c>
      <c r="O15" s="2" t="s">
        <v>17</v>
      </c>
      <c r="P15" s="2"/>
      <c r="Q15" s="2"/>
      <c r="R15" s="2"/>
      <c r="S15" s="2"/>
      <c r="T15" s="2"/>
      <c r="U15" s="2"/>
      <c r="V15" s="2"/>
      <c r="W15" s="2"/>
      <c r="X15" s="2"/>
      <c r="Y15" s="2"/>
      <c r="Z15" s="2"/>
      <c r="AA15" s="2"/>
    </row>
    <row r="16" spans="1:27" s="21" customFormat="1" x14ac:dyDescent="0.25">
      <c r="A16" s="20" t="s">
        <v>151</v>
      </c>
      <c r="B16" s="31">
        <v>182</v>
      </c>
      <c r="C16" s="2">
        <v>1709</v>
      </c>
      <c r="D16" s="20" t="s">
        <v>152</v>
      </c>
      <c r="E16" s="2" t="s">
        <v>93</v>
      </c>
      <c r="F16" s="2" t="s">
        <v>623</v>
      </c>
      <c r="G16" s="20"/>
      <c r="H16" s="20">
        <v>5</v>
      </c>
      <c r="I16" s="2" t="s">
        <v>662</v>
      </c>
      <c r="J16" s="20" t="s">
        <v>588</v>
      </c>
      <c r="K16" s="2" t="s">
        <v>300</v>
      </c>
      <c r="L16" s="20" t="s">
        <v>36</v>
      </c>
      <c r="M16" s="20" t="s">
        <v>135</v>
      </c>
      <c r="N16" s="20" t="s">
        <v>17</v>
      </c>
      <c r="O16" s="20"/>
      <c r="P16" s="20"/>
      <c r="Q16" s="20"/>
      <c r="R16" s="20"/>
      <c r="S16" s="20"/>
      <c r="T16" s="20"/>
      <c r="U16" s="20"/>
      <c r="V16" s="20"/>
      <c r="W16" s="20"/>
      <c r="X16" s="20"/>
      <c r="Y16" s="20"/>
      <c r="Z16" s="20"/>
      <c r="AA16" s="20"/>
    </row>
    <row r="17" spans="1:27" s="21" customFormat="1" x14ac:dyDescent="0.25">
      <c r="A17" s="20" t="s">
        <v>154</v>
      </c>
      <c r="B17" s="31">
        <v>183</v>
      </c>
      <c r="C17" s="2">
        <v>1709</v>
      </c>
      <c r="D17" s="20" t="s">
        <v>153</v>
      </c>
      <c r="E17" s="2" t="s">
        <v>93</v>
      </c>
      <c r="F17" s="2" t="s">
        <v>623</v>
      </c>
      <c r="G17" s="20"/>
      <c r="H17" s="20">
        <v>6</v>
      </c>
      <c r="I17" s="20" t="s">
        <v>663</v>
      </c>
      <c r="J17" s="20" t="s">
        <v>588</v>
      </c>
      <c r="K17" s="2" t="s">
        <v>300</v>
      </c>
      <c r="L17" s="20" t="s">
        <v>36</v>
      </c>
      <c r="M17" s="20" t="s">
        <v>135</v>
      </c>
      <c r="N17" s="20" t="s">
        <v>17</v>
      </c>
      <c r="O17" s="20"/>
      <c r="P17" s="20"/>
      <c r="Q17" s="20"/>
      <c r="R17" s="20"/>
      <c r="S17" s="20"/>
      <c r="T17" s="20"/>
      <c r="U17" s="20"/>
      <c r="V17" s="20"/>
      <c r="W17" s="20"/>
      <c r="X17" s="20"/>
      <c r="Y17" s="20"/>
      <c r="Z17" s="20"/>
      <c r="AA17" s="20"/>
    </row>
    <row r="18" spans="1:27" x14ac:dyDescent="0.25">
      <c r="A18" s="2" t="s">
        <v>194</v>
      </c>
      <c r="B18" s="13" t="s">
        <v>593</v>
      </c>
      <c r="C18" s="2">
        <v>1709</v>
      </c>
      <c r="D18" s="2" t="s">
        <v>195</v>
      </c>
      <c r="E18" s="2" t="s">
        <v>93</v>
      </c>
      <c r="F18" s="2" t="s">
        <v>623</v>
      </c>
      <c r="G18" s="2"/>
      <c r="H18" s="2">
        <v>7</v>
      </c>
      <c r="I18" s="2" t="s">
        <v>668</v>
      </c>
      <c r="J18" s="2" t="s">
        <v>588</v>
      </c>
      <c r="K18" s="2" t="s">
        <v>300</v>
      </c>
      <c r="L18" s="2" t="s">
        <v>36</v>
      </c>
      <c r="M18" s="2" t="s">
        <v>135</v>
      </c>
      <c r="N18" s="2" t="s">
        <v>36</v>
      </c>
      <c r="O18" s="2" t="s">
        <v>590</v>
      </c>
      <c r="P18" s="2" t="s">
        <v>17</v>
      </c>
      <c r="Q18" s="2"/>
      <c r="R18" s="2"/>
      <c r="S18" s="2"/>
      <c r="T18" s="2"/>
      <c r="U18" s="2"/>
      <c r="V18" s="2"/>
      <c r="W18" s="2"/>
      <c r="X18" s="2"/>
      <c r="Y18" s="2"/>
      <c r="Z18" s="2"/>
      <c r="AA18" s="2"/>
    </row>
    <row r="19" spans="1:27" x14ac:dyDescent="0.25">
      <c r="A19" s="2" t="s">
        <v>240</v>
      </c>
      <c r="B19" s="13" t="s">
        <v>592</v>
      </c>
      <c r="C19" s="2">
        <v>1709</v>
      </c>
      <c r="D19" s="2" t="s">
        <v>179</v>
      </c>
      <c r="E19" s="2" t="s">
        <v>93</v>
      </c>
      <c r="F19" s="2" t="s">
        <v>623</v>
      </c>
      <c r="G19" s="2"/>
      <c r="H19" s="2">
        <v>8</v>
      </c>
      <c r="I19" s="2" t="s">
        <v>666</v>
      </c>
      <c r="J19" s="2" t="s">
        <v>589</v>
      </c>
      <c r="K19" s="2" t="s">
        <v>300</v>
      </c>
      <c r="L19" s="2" t="s">
        <v>36</v>
      </c>
      <c r="M19" s="2" t="s">
        <v>135</v>
      </c>
      <c r="N19" s="2" t="s">
        <v>590</v>
      </c>
      <c r="O19" s="2" t="s">
        <v>17</v>
      </c>
      <c r="P19" s="2"/>
      <c r="Q19" s="2"/>
      <c r="R19" s="2"/>
      <c r="S19" s="2"/>
      <c r="T19" s="2"/>
      <c r="U19" s="2"/>
      <c r="V19" s="2"/>
      <c r="W19" s="2"/>
      <c r="X19" s="2"/>
      <c r="Y19" s="2"/>
      <c r="Z19" s="2"/>
      <c r="AA19" s="2"/>
    </row>
    <row r="20" spans="1:27" x14ac:dyDescent="0.25">
      <c r="A20" s="2" t="s">
        <v>146</v>
      </c>
      <c r="B20" s="13">
        <v>172</v>
      </c>
      <c r="C20" s="2">
        <v>1709</v>
      </c>
      <c r="D20" s="2" t="s">
        <v>148</v>
      </c>
      <c r="E20" s="2" t="s">
        <v>93</v>
      </c>
      <c r="F20" s="2" t="s">
        <v>623</v>
      </c>
      <c r="G20" s="2"/>
      <c r="H20" s="2">
        <v>4</v>
      </c>
      <c r="I20" s="2" t="s">
        <v>660</v>
      </c>
      <c r="J20" s="2"/>
      <c r="K20" s="2" t="s">
        <v>300</v>
      </c>
      <c r="L20" s="2" t="s">
        <v>36</v>
      </c>
      <c r="M20" s="2" t="s">
        <v>135</v>
      </c>
      <c r="N20" s="2" t="s">
        <v>17</v>
      </c>
      <c r="O20" s="2"/>
      <c r="P20" s="2"/>
      <c r="Q20" s="2"/>
      <c r="R20" s="2"/>
      <c r="S20" s="2"/>
      <c r="T20" s="2"/>
      <c r="U20" s="2"/>
      <c r="V20" s="2"/>
      <c r="W20" s="2"/>
      <c r="X20" s="2"/>
      <c r="Y20" s="2"/>
      <c r="Z20" s="2"/>
      <c r="AA20" s="2"/>
    </row>
    <row r="21" spans="1:27" x14ac:dyDescent="0.25">
      <c r="A21" s="2" t="s">
        <v>346</v>
      </c>
      <c r="B21" s="2">
        <v>116</v>
      </c>
      <c r="C21" s="2">
        <v>1709</v>
      </c>
      <c r="D21" s="2" t="s">
        <v>350</v>
      </c>
      <c r="E21" s="2" t="s">
        <v>93</v>
      </c>
      <c r="F21" s="2" t="s">
        <v>624</v>
      </c>
      <c r="G21" s="2"/>
      <c r="H21" s="2" t="s">
        <v>626</v>
      </c>
      <c r="I21" s="2"/>
      <c r="J21" s="2"/>
      <c r="K21" s="2" t="s">
        <v>300</v>
      </c>
      <c r="L21" s="2" t="s">
        <v>9</v>
      </c>
      <c r="M21" s="2" t="s">
        <v>15</v>
      </c>
      <c r="N21" s="2" t="s">
        <v>10</v>
      </c>
      <c r="O21" s="2" t="s">
        <v>11</v>
      </c>
      <c r="P21" s="2" t="s">
        <v>12</v>
      </c>
      <c r="Q21" s="2" t="s">
        <v>128</v>
      </c>
      <c r="R21" s="2" t="s">
        <v>129</v>
      </c>
      <c r="S21" s="2" t="s">
        <v>13</v>
      </c>
      <c r="T21" s="2" t="s">
        <v>14</v>
      </c>
      <c r="U21" s="2" t="s">
        <v>130</v>
      </c>
      <c r="V21" s="2" t="s">
        <v>131</v>
      </c>
      <c r="W21" s="2" t="s">
        <v>207</v>
      </c>
      <c r="X21" s="2" t="s">
        <v>221</v>
      </c>
      <c r="Y21" s="2" t="s">
        <v>17</v>
      </c>
      <c r="Z21" s="2"/>
      <c r="AA21" s="2"/>
    </row>
    <row r="22" spans="1:27" x14ac:dyDescent="0.25">
      <c r="A22" s="2" t="s">
        <v>347</v>
      </c>
      <c r="B22" s="2">
        <v>116</v>
      </c>
      <c r="C22" s="2">
        <v>1709</v>
      </c>
      <c r="D22" s="2" t="s">
        <v>348</v>
      </c>
      <c r="E22" s="2" t="s">
        <v>93</v>
      </c>
      <c r="F22" s="2" t="s">
        <v>624</v>
      </c>
      <c r="G22" s="2"/>
      <c r="H22" s="2" t="s">
        <v>626</v>
      </c>
      <c r="I22" s="2"/>
      <c r="J22" s="2"/>
      <c r="K22" s="2" t="s">
        <v>300</v>
      </c>
      <c r="L22" s="2" t="s">
        <v>9</v>
      </c>
      <c r="M22" s="2" t="s">
        <v>15</v>
      </c>
      <c r="N22" s="2" t="s">
        <v>10</v>
      </c>
      <c r="O22" s="2" t="s">
        <v>11</v>
      </c>
      <c r="P22" s="2" t="s">
        <v>12</v>
      </c>
      <c r="Q22" s="2" t="s">
        <v>128</v>
      </c>
      <c r="R22" s="2" t="s">
        <v>129</v>
      </c>
      <c r="S22" s="2" t="s">
        <v>13</v>
      </c>
      <c r="T22" s="2" t="s">
        <v>14</v>
      </c>
      <c r="U22" s="2" t="s">
        <v>130</v>
      </c>
      <c r="V22" s="2" t="s">
        <v>131</v>
      </c>
      <c r="W22" s="2" t="s">
        <v>207</v>
      </c>
      <c r="X22" s="2" t="s">
        <v>17</v>
      </c>
      <c r="Y22" s="2"/>
      <c r="Z22" s="2"/>
      <c r="AA22" s="2"/>
    </row>
    <row r="23" spans="1:27" x14ac:dyDescent="0.25">
      <c r="A23" s="2" t="s">
        <v>383</v>
      </c>
      <c r="B23" s="2">
        <v>116</v>
      </c>
      <c r="C23" s="2">
        <v>1709</v>
      </c>
      <c r="D23" s="2" t="s">
        <v>384</v>
      </c>
      <c r="E23" s="2" t="s">
        <v>93</v>
      </c>
      <c r="F23" s="2" t="s">
        <v>624</v>
      </c>
      <c r="G23" s="2"/>
      <c r="H23" s="2" t="s">
        <v>626</v>
      </c>
      <c r="I23" s="2"/>
      <c r="J23" s="2"/>
      <c r="K23" s="2" t="s">
        <v>300</v>
      </c>
      <c r="L23" s="2" t="s">
        <v>36</v>
      </c>
      <c r="M23" s="2" t="s">
        <v>10</v>
      </c>
      <c r="N23" s="2" t="s">
        <v>11</v>
      </c>
      <c r="O23" s="2" t="s">
        <v>12</v>
      </c>
      <c r="P23" s="2" t="s">
        <v>128</v>
      </c>
      <c r="Q23" s="2" t="s">
        <v>129</v>
      </c>
      <c r="R23" s="2" t="s">
        <v>13</v>
      </c>
      <c r="S23" s="2" t="s">
        <v>14</v>
      </c>
      <c r="T23" s="2" t="s">
        <v>130</v>
      </c>
      <c r="U23" s="2" t="s">
        <v>131</v>
      </c>
      <c r="V23" s="2" t="s">
        <v>17</v>
      </c>
      <c r="W23" s="2"/>
      <c r="X23" s="2"/>
      <c r="Y23" s="2"/>
      <c r="Z23" s="2"/>
      <c r="AA23" s="2"/>
    </row>
    <row r="24" spans="1:27" x14ac:dyDescent="0.25">
      <c r="A24" s="2" t="s">
        <v>353</v>
      </c>
      <c r="B24" s="2">
        <v>116</v>
      </c>
      <c r="C24" s="2">
        <v>1709</v>
      </c>
      <c r="D24" s="2" t="s">
        <v>354</v>
      </c>
      <c r="E24" s="2" t="s">
        <v>93</v>
      </c>
      <c r="F24" s="2" t="s">
        <v>624</v>
      </c>
      <c r="G24" s="2"/>
      <c r="H24" s="2" t="s">
        <v>626</v>
      </c>
      <c r="I24" s="2"/>
      <c r="J24" s="2"/>
      <c r="K24" s="2" t="s">
        <v>300</v>
      </c>
      <c r="L24" s="2" t="s">
        <v>9</v>
      </c>
      <c r="M24" s="2" t="s">
        <v>15</v>
      </c>
      <c r="N24" s="2" t="s">
        <v>10</v>
      </c>
      <c r="O24" s="2" t="s">
        <v>11</v>
      </c>
      <c r="P24" s="2" t="s">
        <v>12</v>
      </c>
      <c r="Q24" s="2" t="s">
        <v>128</v>
      </c>
      <c r="R24" s="2" t="s">
        <v>129</v>
      </c>
      <c r="S24" s="2" t="s">
        <v>13</v>
      </c>
      <c r="T24" s="2" t="s">
        <v>14</v>
      </c>
      <c r="U24" s="2" t="s">
        <v>130</v>
      </c>
      <c r="V24" s="2" t="s">
        <v>131</v>
      </c>
      <c r="W24" s="2" t="s">
        <v>207</v>
      </c>
      <c r="X24" s="2" t="s">
        <v>17</v>
      </c>
      <c r="Y24" s="2"/>
      <c r="Z24" s="2"/>
      <c r="AA24" s="2"/>
    </row>
    <row r="25" spans="1:27" x14ac:dyDescent="0.25">
      <c r="A25" s="2" t="s">
        <v>216</v>
      </c>
      <c r="B25" s="13" t="s">
        <v>595</v>
      </c>
      <c r="C25" s="2">
        <v>1709</v>
      </c>
      <c r="D25" s="20" t="s">
        <v>217</v>
      </c>
      <c r="E25" s="2" t="s">
        <v>93</v>
      </c>
      <c r="F25" s="2" t="s">
        <v>624</v>
      </c>
      <c r="G25" s="2"/>
      <c r="H25" s="2">
        <v>1</v>
      </c>
      <c r="I25" s="2" t="s">
        <v>670</v>
      </c>
      <c r="J25" s="2" t="s">
        <v>588</v>
      </c>
      <c r="K25" s="2" t="s">
        <v>300</v>
      </c>
      <c r="L25" s="2" t="s">
        <v>36</v>
      </c>
      <c r="M25" s="2" t="s">
        <v>207</v>
      </c>
      <c r="N25" s="2" t="s">
        <v>17</v>
      </c>
      <c r="O25" s="2"/>
      <c r="P25" s="2"/>
      <c r="Q25" s="2"/>
      <c r="R25" s="2"/>
      <c r="S25" s="2"/>
      <c r="T25" s="2"/>
      <c r="U25" s="2"/>
      <c r="V25" s="2"/>
      <c r="W25" s="2"/>
      <c r="X25" s="2"/>
      <c r="Y25" s="2"/>
      <c r="Z25" s="2"/>
      <c r="AA25" s="2"/>
    </row>
    <row r="26" spans="1:27" x14ac:dyDescent="0.25">
      <c r="A26" s="2" t="s">
        <v>219</v>
      </c>
      <c r="B26" s="13" t="s">
        <v>596</v>
      </c>
      <c r="C26" s="2">
        <v>1709</v>
      </c>
      <c r="D26" s="20" t="s">
        <v>224</v>
      </c>
      <c r="E26" s="2" t="s">
        <v>93</v>
      </c>
      <c r="F26" s="2" t="s">
        <v>624</v>
      </c>
      <c r="G26" s="2"/>
      <c r="H26" s="2">
        <v>2</v>
      </c>
      <c r="I26" s="2" t="s">
        <v>673</v>
      </c>
      <c r="J26" s="2" t="s">
        <v>588</v>
      </c>
      <c r="K26" s="2" t="s">
        <v>300</v>
      </c>
      <c r="L26" s="2" t="s">
        <v>36</v>
      </c>
      <c r="M26" s="2" t="s">
        <v>207</v>
      </c>
      <c r="N26" s="2" t="s">
        <v>221</v>
      </c>
      <c r="O26" s="2" t="s">
        <v>17</v>
      </c>
      <c r="P26" s="2"/>
      <c r="Q26" s="2"/>
      <c r="R26" s="2"/>
      <c r="S26" s="2"/>
      <c r="T26" s="2"/>
      <c r="U26" s="2"/>
      <c r="V26" s="2"/>
      <c r="W26" s="2"/>
      <c r="X26" s="2"/>
      <c r="Y26" s="2"/>
      <c r="Z26" s="2"/>
      <c r="AA26" s="2"/>
    </row>
    <row r="27" spans="1:27" x14ac:dyDescent="0.25">
      <c r="A27" s="2" t="s">
        <v>222</v>
      </c>
      <c r="B27" s="13" t="s">
        <v>597</v>
      </c>
      <c r="C27" s="2">
        <v>1709</v>
      </c>
      <c r="D27" s="20" t="s">
        <v>227</v>
      </c>
      <c r="E27" s="2" t="s">
        <v>93</v>
      </c>
      <c r="F27" s="2" t="s">
        <v>624</v>
      </c>
      <c r="G27" s="2"/>
      <c r="H27" s="2">
        <v>3</v>
      </c>
      <c r="I27" s="2" t="s">
        <v>674</v>
      </c>
      <c r="J27" s="2" t="s">
        <v>589</v>
      </c>
      <c r="K27" s="2" t="s">
        <v>300</v>
      </c>
      <c r="L27" s="2" t="s">
        <v>36</v>
      </c>
      <c r="M27" s="2" t="s">
        <v>207</v>
      </c>
      <c r="N27" s="2" t="s">
        <v>221</v>
      </c>
      <c r="O27" s="2" t="s">
        <v>17</v>
      </c>
      <c r="P27" s="2"/>
      <c r="Q27" s="2"/>
      <c r="R27" s="2"/>
      <c r="S27" s="2"/>
      <c r="T27" s="2"/>
      <c r="U27" s="2"/>
      <c r="V27" s="2"/>
      <c r="W27" s="2"/>
      <c r="X27" s="2"/>
      <c r="Y27" s="2"/>
      <c r="Z27" s="2"/>
      <c r="AA27" s="2"/>
    </row>
    <row r="28" spans="1:27" x14ac:dyDescent="0.25">
      <c r="A28" s="2" t="s">
        <v>226</v>
      </c>
      <c r="B28" s="13" t="s">
        <v>598</v>
      </c>
      <c r="C28" s="2">
        <v>1709</v>
      </c>
      <c r="D28" s="20" t="s">
        <v>220</v>
      </c>
      <c r="E28" s="2" t="s">
        <v>93</v>
      </c>
      <c r="F28" s="2" t="s">
        <v>624</v>
      </c>
      <c r="G28" s="2"/>
      <c r="H28" s="2">
        <v>4</v>
      </c>
      <c r="I28" s="2" t="s">
        <v>675</v>
      </c>
      <c r="J28" s="2" t="s">
        <v>588</v>
      </c>
      <c r="K28" s="2" t="s">
        <v>300</v>
      </c>
      <c r="L28" s="2" t="s">
        <v>36</v>
      </c>
      <c r="M28" s="2" t="s">
        <v>207</v>
      </c>
      <c r="N28" s="2" t="s">
        <v>221</v>
      </c>
      <c r="O28" s="2" t="s">
        <v>17</v>
      </c>
      <c r="P28" s="2"/>
      <c r="Q28" s="2"/>
      <c r="R28" s="2"/>
      <c r="S28" s="2"/>
      <c r="T28" s="2"/>
      <c r="U28" s="2"/>
      <c r="V28" s="2"/>
      <c r="W28" s="2"/>
      <c r="X28" s="2"/>
      <c r="Y28" s="2"/>
      <c r="Z28" s="2"/>
      <c r="AA28" s="2"/>
    </row>
    <row r="29" spans="1:27" x14ac:dyDescent="0.25">
      <c r="A29" s="2" t="s">
        <v>204</v>
      </c>
      <c r="B29" s="13" t="s">
        <v>599</v>
      </c>
      <c r="C29" s="2">
        <v>1709</v>
      </c>
      <c r="D29" s="2" t="s">
        <v>205</v>
      </c>
      <c r="E29" s="2" t="s">
        <v>93</v>
      </c>
      <c r="F29" s="2" t="s">
        <v>624</v>
      </c>
      <c r="G29" s="2"/>
      <c r="H29" s="2">
        <v>5</v>
      </c>
      <c r="I29" s="2" t="s">
        <v>671</v>
      </c>
      <c r="J29" s="2" t="s">
        <v>589</v>
      </c>
      <c r="K29" s="2" t="s">
        <v>300</v>
      </c>
      <c r="L29" s="2" t="s">
        <v>36</v>
      </c>
      <c r="M29" s="2" t="s">
        <v>207</v>
      </c>
      <c r="N29" s="2" t="s">
        <v>17</v>
      </c>
      <c r="O29" s="2"/>
      <c r="P29" s="2"/>
      <c r="Q29" s="2"/>
      <c r="R29" s="2"/>
      <c r="S29" s="2"/>
      <c r="T29" s="2"/>
      <c r="U29" s="2"/>
      <c r="V29" s="2"/>
      <c r="W29" s="2"/>
      <c r="X29" s="2"/>
      <c r="Y29" s="2"/>
      <c r="Z29" s="2"/>
      <c r="AA29" s="2"/>
    </row>
    <row r="30" spans="1:27" x14ac:dyDescent="0.25">
      <c r="A30" s="2" t="s">
        <v>211</v>
      </c>
      <c r="B30" s="13" t="s">
        <v>600</v>
      </c>
      <c r="C30" s="2">
        <v>1709</v>
      </c>
      <c r="D30" s="2" t="s">
        <v>239</v>
      </c>
      <c r="E30" s="2" t="s">
        <v>93</v>
      </c>
      <c r="F30" s="2" t="s">
        <v>624</v>
      </c>
      <c r="G30" s="2"/>
      <c r="H30" s="2">
        <v>6</v>
      </c>
      <c r="I30" s="2" t="s">
        <v>672</v>
      </c>
      <c r="J30" s="2" t="s">
        <v>589</v>
      </c>
      <c r="K30" s="2" t="s">
        <v>300</v>
      </c>
      <c r="L30" s="2" t="s">
        <v>36</v>
      </c>
      <c r="M30" s="2" t="s">
        <v>207</v>
      </c>
      <c r="N30" s="2" t="s">
        <v>17</v>
      </c>
      <c r="O30" s="2"/>
      <c r="P30" s="2"/>
      <c r="Q30" s="2"/>
      <c r="R30" s="2"/>
      <c r="S30" s="2"/>
      <c r="T30" s="2"/>
      <c r="U30" s="2"/>
      <c r="V30" s="2"/>
      <c r="W30" s="2"/>
      <c r="X30" s="2"/>
      <c r="Y30" s="2"/>
      <c r="Z30" s="2"/>
      <c r="AA30" s="2"/>
    </row>
    <row r="31" spans="1:27" x14ac:dyDescent="0.25">
      <c r="A31" s="2" t="s">
        <v>213</v>
      </c>
      <c r="B31" s="13" t="s">
        <v>594</v>
      </c>
      <c r="C31" s="2">
        <v>1709</v>
      </c>
      <c r="D31" s="2" t="s">
        <v>214</v>
      </c>
      <c r="E31" s="2" t="s">
        <v>93</v>
      </c>
      <c r="F31" s="2" t="s">
        <v>624</v>
      </c>
      <c r="G31" s="2"/>
      <c r="H31" s="2" t="s">
        <v>1034</v>
      </c>
      <c r="I31" s="2" t="s">
        <v>669</v>
      </c>
      <c r="J31" s="2" t="s">
        <v>588</v>
      </c>
      <c r="K31" s="2" t="s">
        <v>300</v>
      </c>
      <c r="L31" s="2" t="s">
        <v>36</v>
      </c>
      <c r="M31" s="2" t="s">
        <v>207</v>
      </c>
      <c r="N31" s="2" t="s">
        <v>17</v>
      </c>
      <c r="O31" s="2"/>
      <c r="P31" s="2"/>
      <c r="Q31" s="2"/>
      <c r="R31" s="2"/>
      <c r="S31" s="2"/>
      <c r="T31" s="2"/>
      <c r="U31" s="2"/>
      <c r="V31" s="2"/>
      <c r="W31" s="2"/>
      <c r="X31" s="2"/>
      <c r="Y31" s="2"/>
      <c r="Z31" s="2"/>
      <c r="AA31" s="2"/>
    </row>
    <row r="32" spans="1:27" x14ac:dyDescent="0.25">
      <c r="A32" s="2" t="s">
        <v>395</v>
      </c>
      <c r="B32" s="2">
        <v>114</v>
      </c>
      <c r="C32" s="2">
        <v>1709</v>
      </c>
      <c r="D32" s="2" t="s">
        <v>627</v>
      </c>
      <c r="E32" s="2" t="s">
        <v>93</v>
      </c>
      <c r="F32" s="2" t="s">
        <v>601</v>
      </c>
      <c r="G32" s="2"/>
      <c r="H32" s="2" t="s">
        <v>626</v>
      </c>
      <c r="I32" s="2"/>
      <c r="J32" s="2"/>
      <c r="K32" s="2" t="s">
        <v>300</v>
      </c>
      <c r="L32" s="2" t="s">
        <v>9</v>
      </c>
      <c r="M32" s="2" t="s">
        <v>15</v>
      </c>
      <c r="N32" s="2" t="s">
        <v>245</v>
      </c>
      <c r="O32" s="2" t="s">
        <v>254</v>
      </c>
      <c r="P32" s="2" t="s">
        <v>17</v>
      </c>
      <c r="Q32" s="2"/>
      <c r="R32" s="2"/>
      <c r="S32" s="2"/>
      <c r="T32" s="2"/>
      <c r="U32" s="2"/>
      <c r="V32" s="2"/>
      <c r="W32" s="2"/>
      <c r="X32" s="2"/>
      <c r="Y32" s="2"/>
      <c r="Z32" s="2"/>
      <c r="AA32" s="2"/>
    </row>
    <row r="33" spans="1:27" x14ac:dyDescent="0.25">
      <c r="A33" s="2" t="s">
        <v>630</v>
      </c>
      <c r="B33" s="2">
        <v>115</v>
      </c>
      <c r="C33" s="2">
        <v>1709</v>
      </c>
      <c r="D33" s="2" t="s">
        <v>631</v>
      </c>
      <c r="E33" s="2" t="s">
        <v>93</v>
      </c>
      <c r="F33" s="2" t="s">
        <v>641</v>
      </c>
      <c r="G33" s="2"/>
      <c r="H33" s="2" t="s">
        <v>626</v>
      </c>
      <c r="I33" s="2"/>
      <c r="J33" s="2"/>
      <c r="K33" s="2" t="s">
        <v>300</v>
      </c>
      <c r="L33" s="2" t="s">
        <v>9</v>
      </c>
      <c r="M33" s="2" t="s">
        <v>15</v>
      </c>
      <c r="N33" s="2" t="s">
        <v>245</v>
      </c>
      <c r="O33" s="2" t="s">
        <v>10</v>
      </c>
      <c r="P33" s="2" t="s">
        <v>11</v>
      </c>
      <c r="Q33" s="2" t="s">
        <v>12</v>
      </c>
      <c r="R33" s="2" t="s">
        <v>128</v>
      </c>
      <c r="S33" s="2" t="s">
        <v>129</v>
      </c>
      <c r="T33" s="2" t="s">
        <v>13</v>
      </c>
      <c r="U33" s="2" t="s">
        <v>14</v>
      </c>
      <c r="V33" s="2" t="s">
        <v>130</v>
      </c>
      <c r="W33" s="2" t="s">
        <v>131</v>
      </c>
      <c r="X33" s="2" t="s">
        <v>278</v>
      </c>
      <c r="Y33" s="2" t="s">
        <v>17</v>
      </c>
      <c r="Z33" s="2"/>
      <c r="AA33" s="2"/>
    </row>
    <row r="34" spans="1:27" x14ac:dyDescent="0.25">
      <c r="A34" s="2" t="s">
        <v>247</v>
      </c>
      <c r="B34" s="35">
        <v>197198</v>
      </c>
      <c r="C34" s="2">
        <v>1709</v>
      </c>
      <c r="D34" s="2" t="s">
        <v>253</v>
      </c>
      <c r="E34" s="2" t="s">
        <v>93</v>
      </c>
      <c r="F34" s="2" t="s">
        <v>601</v>
      </c>
      <c r="G34" s="2"/>
      <c r="H34" s="2"/>
      <c r="I34" s="2" t="s">
        <v>677</v>
      </c>
      <c r="J34" s="2" t="s">
        <v>589</v>
      </c>
      <c r="K34" s="2" t="s">
        <v>300</v>
      </c>
      <c r="L34" s="2" t="s">
        <v>36</v>
      </c>
      <c r="M34" s="2" t="s">
        <v>254</v>
      </c>
      <c r="N34" s="2" t="s">
        <v>17</v>
      </c>
      <c r="O34" s="2"/>
      <c r="P34" s="2"/>
      <c r="Q34" s="2"/>
      <c r="R34" s="2"/>
      <c r="S34" s="2"/>
      <c r="T34" s="2"/>
      <c r="U34" s="2"/>
      <c r="V34" s="2"/>
      <c r="W34" s="2"/>
      <c r="X34" s="2"/>
      <c r="Y34" s="2"/>
      <c r="Z34" s="2"/>
      <c r="AA34" s="2"/>
    </row>
    <row r="35" spans="1:27" x14ac:dyDescent="0.25">
      <c r="A35" s="2" t="s">
        <v>270</v>
      </c>
      <c r="B35" s="35">
        <v>207208209</v>
      </c>
      <c r="C35" s="2">
        <v>1709</v>
      </c>
      <c r="D35" s="2" t="s">
        <v>271</v>
      </c>
      <c r="E35" s="2" t="s">
        <v>93</v>
      </c>
      <c r="F35" s="2" t="s">
        <v>601</v>
      </c>
      <c r="G35" s="2"/>
      <c r="H35" s="2"/>
      <c r="I35" s="2" t="s">
        <v>678</v>
      </c>
      <c r="J35" s="2" t="s">
        <v>588</v>
      </c>
      <c r="K35" s="2" t="s">
        <v>300</v>
      </c>
      <c r="L35" s="2" t="s">
        <v>36</v>
      </c>
      <c r="M35" s="2" t="s">
        <v>254</v>
      </c>
      <c r="N35" s="2" t="s">
        <v>278</v>
      </c>
      <c r="O35" s="2" t="s">
        <v>17</v>
      </c>
      <c r="P35" s="2"/>
      <c r="Q35" s="2"/>
      <c r="R35" s="2"/>
      <c r="S35" s="2"/>
      <c r="T35" s="2"/>
      <c r="U35" s="2"/>
      <c r="V35" s="2"/>
      <c r="W35" s="2"/>
      <c r="X35" s="2"/>
      <c r="Y35" s="2"/>
      <c r="Z35" s="2"/>
      <c r="AA35" s="2"/>
    </row>
    <row r="36" spans="1:27" x14ac:dyDescent="0.25">
      <c r="A36" s="2" t="s">
        <v>284</v>
      </c>
      <c r="B36" s="35">
        <v>210211</v>
      </c>
      <c r="C36" s="2">
        <v>1709</v>
      </c>
      <c r="D36" s="2" t="s">
        <v>290</v>
      </c>
      <c r="E36" s="2" t="s">
        <v>93</v>
      </c>
      <c r="F36" s="2" t="s">
        <v>601</v>
      </c>
      <c r="G36" s="2"/>
      <c r="H36" s="2"/>
      <c r="I36" s="2" t="s">
        <v>676</v>
      </c>
      <c r="J36" s="2" t="s">
        <v>588</v>
      </c>
      <c r="K36" s="2" t="s">
        <v>300</v>
      </c>
      <c r="L36" s="2" t="s">
        <v>36</v>
      </c>
      <c r="M36" s="2" t="s">
        <v>254</v>
      </c>
      <c r="N36" s="2" t="s">
        <v>17</v>
      </c>
      <c r="O36" s="2"/>
      <c r="P36" s="2"/>
      <c r="Q36" s="2"/>
      <c r="R36" s="2"/>
      <c r="S36" s="2"/>
      <c r="T36" s="2"/>
      <c r="U36" s="2"/>
      <c r="V36" s="2"/>
      <c r="W36" s="2"/>
      <c r="X36" s="2"/>
      <c r="Y36" s="2"/>
      <c r="Z36" s="2"/>
      <c r="AA36" s="2"/>
    </row>
    <row r="37" spans="1:27" x14ac:dyDescent="0.25">
      <c r="A37" s="2" t="s">
        <v>292</v>
      </c>
      <c r="B37" s="13">
        <v>211</v>
      </c>
      <c r="C37" s="2">
        <v>1709</v>
      </c>
      <c r="D37" s="2" t="s">
        <v>291</v>
      </c>
      <c r="E37" s="2" t="s">
        <v>93</v>
      </c>
      <c r="F37" s="2" t="s">
        <v>601</v>
      </c>
      <c r="G37" s="2"/>
      <c r="H37" s="2"/>
      <c r="I37" s="2" t="s">
        <v>679</v>
      </c>
      <c r="J37" s="2" t="s">
        <v>588</v>
      </c>
      <c r="K37" s="2" t="s">
        <v>300</v>
      </c>
      <c r="L37" s="2" t="s">
        <v>36</v>
      </c>
      <c r="M37" s="2" t="s">
        <v>254</v>
      </c>
      <c r="N37" s="2" t="s">
        <v>278</v>
      </c>
      <c r="O37" s="2" t="s">
        <v>17</v>
      </c>
      <c r="P37" s="2"/>
      <c r="Q37" s="2"/>
      <c r="R37" s="2"/>
      <c r="S37" s="2"/>
      <c r="T37" s="2"/>
      <c r="U37" s="2"/>
      <c r="V37" s="2"/>
      <c r="W37" s="2"/>
      <c r="X37" s="2"/>
      <c r="Y37" s="2"/>
      <c r="Z37" s="2"/>
      <c r="AA37" s="2"/>
    </row>
    <row r="38" spans="1:27" x14ac:dyDescent="0.25">
      <c r="A38" s="2" t="s">
        <v>294</v>
      </c>
      <c r="B38" s="35">
        <v>212214</v>
      </c>
      <c r="C38" s="2">
        <v>1709</v>
      </c>
      <c r="D38" s="2" t="s">
        <v>306</v>
      </c>
      <c r="E38" s="2" t="s">
        <v>93</v>
      </c>
      <c r="F38" s="2" t="s">
        <v>601</v>
      </c>
      <c r="G38" s="2"/>
      <c r="H38" s="2"/>
      <c r="I38" s="2" t="s">
        <v>680</v>
      </c>
      <c r="J38" s="2" t="s">
        <v>588</v>
      </c>
      <c r="K38" s="2" t="s">
        <v>300</v>
      </c>
      <c r="L38" s="2" t="s">
        <v>36</v>
      </c>
      <c r="M38" s="2" t="s">
        <v>254</v>
      </c>
      <c r="N38" s="2" t="s">
        <v>17</v>
      </c>
      <c r="O38" s="2"/>
      <c r="P38" s="2"/>
      <c r="Q38" s="2"/>
      <c r="R38" s="2"/>
      <c r="S38" s="2"/>
      <c r="T38" s="2"/>
      <c r="U38" s="2"/>
      <c r="V38" s="2"/>
      <c r="W38" s="2"/>
      <c r="X38" s="2"/>
      <c r="Y38" s="2"/>
      <c r="Z38" s="2"/>
      <c r="AA38" s="2"/>
    </row>
    <row r="39" spans="1:27" x14ac:dyDescent="0.25">
      <c r="A39" s="2" t="s">
        <v>305</v>
      </c>
      <c r="B39" s="13">
        <v>200</v>
      </c>
      <c r="C39" s="2">
        <v>1709</v>
      </c>
      <c r="D39" s="2" t="s">
        <v>307</v>
      </c>
      <c r="E39" s="2" t="s">
        <v>93</v>
      </c>
      <c r="F39" s="2" t="s">
        <v>601</v>
      </c>
      <c r="G39" s="2"/>
      <c r="H39" s="2"/>
      <c r="I39" s="2" t="s">
        <v>681</v>
      </c>
      <c r="J39" s="2" t="s">
        <v>588</v>
      </c>
      <c r="K39" s="2" t="s">
        <v>300</v>
      </c>
      <c r="L39" s="2" t="s">
        <v>36</v>
      </c>
      <c r="M39" s="2" t="s">
        <v>254</v>
      </c>
      <c r="N39" s="2" t="s">
        <v>278</v>
      </c>
      <c r="O39" s="2" t="s">
        <v>17</v>
      </c>
      <c r="P39" s="2"/>
      <c r="Q39" s="2"/>
      <c r="R39" s="2"/>
      <c r="S39" s="2"/>
      <c r="T39" s="2"/>
      <c r="U39" s="2"/>
      <c r="V39" s="2"/>
      <c r="W39" s="2"/>
      <c r="X39" s="2"/>
      <c r="Y39" s="2"/>
      <c r="Z39" s="2"/>
      <c r="AA39" s="2"/>
    </row>
    <row r="40" spans="1:27" x14ac:dyDescent="0.25">
      <c r="A40" s="2" t="s">
        <v>311</v>
      </c>
      <c r="B40" s="35">
        <v>201202</v>
      </c>
      <c r="C40" s="2">
        <v>1709</v>
      </c>
      <c r="D40" s="2" t="s">
        <v>313</v>
      </c>
      <c r="E40" s="2" t="s">
        <v>93</v>
      </c>
      <c r="F40" s="2" t="s">
        <v>601</v>
      </c>
      <c r="G40" s="2"/>
      <c r="H40" s="2"/>
      <c r="I40" s="2" t="s">
        <v>682</v>
      </c>
      <c r="J40" s="2" t="s">
        <v>588</v>
      </c>
      <c r="K40" s="2" t="s">
        <v>300</v>
      </c>
      <c r="L40" s="2" t="s">
        <v>36</v>
      </c>
      <c r="M40" s="2" t="s">
        <v>254</v>
      </c>
      <c r="N40" s="2" t="s">
        <v>278</v>
      </c>
      <c r="O40" s="2" t="s">
        <v>17</v>
      </c>
      <c r="P40" s="2"/>
      <c r="Q40" s="2"/>
      <c r="R40" s="2"/>
      <c r="S40" s="2"/>
      <c r="T40" s="2"/>
      <c r="U40" s="2"/>
      <c r="V40" s="2"/>
      <c r="W40" s="2"/>
      <c r="X40" s="2"/>
      <c r="Y40" s="2"/>
      <c r="Z40" s="2"/>
      <c r="AA40" s="2"/>
    </row>
    <row r="41" spans="1:27" x14ac:dyDescent="0.25">
      <c r="A41" s="2" t="s">
        <v>603</v>
      </c>
      <c r="B41" s="2">
        <v>116</v>
      </c>
      <c r="C41" s="2">
        <v>1709</v>
      </c>
      <c r="D41" s="2" t="s">
        <v>628</v>
      </c>
      <c r="E41" s="2" t="s">
        <v>93</v>
      </c>
      <c r="F41" s="2" t="s">
        <v>602</v>
      </c>
      <c r="G41" s="2"/>
      <c r="H41" s="2" t="s">
        <v>626</v>
      </c>
      <c r="I41" s="2"/>
      <c r="J41" s="2"/>
      <c r="K41" s="2" t="s">
        <v>300</v>
      </c>
      <c r="L41" s="2" t="s">
        <v>9</v>
      </c>
      <c r="M41" s="2" t="s">
        <v>15</v>
      </c>
      <c r="N41" s="2" t="s">
        <v>245</v>
      </c>
      <c r="O41" s="2" t="s">
        <v>10</v>
      </c>
      <c r="P41" s="2" t="s">
        <v>11</v>
      </c>
      <c r="Q41" s="2" t="s">
        <v>12</v>
      </c>
      <c r="R41" s="2" t="s">
        <v>128</v>
      </c>
      <c r="S41" s="2" t="s">
        <v>129</v>
      </c>
      <c r="T41" s="2" t="s">
        <v>13</v>
      </c>
      <c r="U41" s="2" t="s">
        <v>14</v>
      </c>
      <c r="V41" s="2" t="s">
        <v>130</v>
      </c>
      <c r="W41" s="2" t="s">
        <v>131</v>
      </c>
      <c r="X41" s="2" t="s">
        <v>421</v>
      </c>
      <c r="Y41" s="2" t="s">
        <v>425</v>
      </c>
      <c r="Z41" s="2" t="s">
        <v>17</v>
      </c>
      <c r="AA41" s="2"/>
    </row>
    <row r="42" spans="1:27" x14ac:dyDescent="0.25">
      <c r="A42" s="2" t="s">
        <v>355</v>
      </c>
      <c r="B42" s="2">
        <v>157</v>
      </c>
      <c r="C42" s="2">
        <v>1709</v>
      </c>
      <c r="D42" s="2" t="s">
        <v>404</v>
      </c>
      <c r="E42" s="2" t="s">
        <v>93</v>
      </c>
      <c r="F42" s="2" t="s">
        <v>602</v>
      </c>
      <c r="G42" s="2"/>
      <c r="H42" s="2"/>
      <c r="I42" s="2" t="s">
        <v>660</v>
      </c>
      <c r="J42" s="2" t="s">
        <v>588</v>
      </c>
      <c r="K42" s="2" t="s">
        <v>300</v>
      </c>
      <c r="L42" s="2" t="s">
        <v>36</v>
      </c>
      <c r="M42" s="2" t="s">
        <v>422</v>
      </c>
      <c r="N42" s="2" t="s">
        <v>17</v>
      </c>
      <c r="O42" s="2"/>
      <c r="P42" s="2"/>
      <c r="Q42" s="2"/>
      <c r="R42" s="2"/>
      <c r="S42" s="2"/>
      <c r="T42" s="2"/>
      <c r="U42" s="2"/>
      <c r="V42" s="2"/>
      <c r="W42" s="2"/>
      <c r="X42" s="2"/>
      <c r="Y42" s="2"/>
      <c r="Z42" s="2"/>
      <c r="AA42" s="2"/>
    </row>
    <row r="43" spans="1:27" x14ac:dyDescent="0.25">
      <c r="A43" s="2" t="s">
        <v>321</v>
      </c>
      <c r="B43" s="39">
        <v>156166168163</v>
      </c>
      <c r="C43" s="2">
        <v>1709</v>
      </c>
      <c r="D43" s="2" t="s">
        <v>403</v>
      </c>
      <c r="E43" s="2" t="s">
        <v>93</v>
      </c>
      <c r="F43" s="2" t="s">
        <v>602</v>
      </c>
      <c r="G43" s="4"/>
      <c r="H43" s="2" t="s">
        <v>629</v>
      </c>
      <c r="I43" s="4" t="s">
        <v>685</v>
      </c>
      <c r="J43" s="2" t="s">
        <v>589</v>
      </c>
      <c r="K43" s="2" t="s">
        <v>300</v>
      </c>
      <c r="L43" s="2" t="s">
        <v>36</v>
      </c>
      <c r="M43" s="2" t="s">
        <v>421</v>
      </c>
      <c r="N43" s="2" t="s">
        <v>17</v>
      </c>
      <c r="O43" s="2"/>
      <c r="P43" s="2"/>
      <c r="Q43" s="2"/>
      <c r="R43" s="2"/>
      <c r="S43" s="2"/>
      <c r="T43" s="2"/>
      <c r="U43" s="2"/>
      <c r="V43" s="2"/>
      <c r="W43" s="2"/>
      <c r="X43" s="2"/>
      <c r="Y43" s="2"/>
      <c r="Z43" s="2"/>
      <c r="AA43" s="2"/>
    </row>
    <row r="44" spans="1:27" x14ac:dyDescent="0.25">
      <c r="A44" s="2" t="s">
        <v>371</v>
      </c>
      <c r="B44" s="2">
        <v>167</v>
      </c>
      <c r="C44" s="2">
        <v>1709</v>
      </c>
      <c r="D44" s="2" t="s">
        <v>406</v>
      </c>
      <c r="E44" s="2" t="s">
        <v>93</v>
      </c>
      <c r="F44" s="2" t="s">
        <v>602</v>
      </c>
      <c r="G44" s="4"/>
      <c r="H44" s="2"/>
      <c r="I44" s="4" t="s">
        <v>662</v>
      </c>
      <c r="J44" s="2" t="s">
        <v>589</v>
      </c>
      <c r="K44" s="2" t="s">
        <v>300</v>
      </c>
      <c r="L44" s="2" t="s">
        <v>36</v>
      </c>
      <c r="M44" s="2" t="s">
        <v>424</v>
      </c>
      <c r="N44" s="2" t="s">
        <v>17</v>
      </c>
      <c r="O44" s="2"/>
      <c r="P44" s="2"/>
      <c r="Q44" s="2"/>
      <c r="R44" s="2"/>
      <c r="S44" s="2"/>
      <c r="T44" s="2"/>
      <c r="U44" s="2"/>
      <c r="V44" s="2"/>
      <c r="W44" s="2"/>
      <c r="X44" s="2"/>
      <c r="Y44" s="2"/>
      <c r="Z44" s="2"/>
      <c r="AA44" s="2"/>
    </row>
    <row r="45" spans="1:27" x14ac:dyDescent="0.25">
      <c r="A45" s="2" t="s">
        <v>365</v>
      </c>
      <c r="B45" s="2">
        <v>159</v>
      </c>
      <c r="C45" s="2">
        <v>1709</v>
      </c>
      <c r="D45" s="2" t="s">
        <v>405</v>
      </c>
      <c r="E45" s="2" t="s">
        <v>93</v>
      </c>
      <c r="F45" s="2" t="s">
        <v>602</v>
      </c>
      <c r="G45" s="2"/>
      <c r="H45" s="2"/>
      <c r="I45" s="2" t="s">
        <v>679</v>
      </c>
      <c r="J45" s="2" t="s">
        <v>588</v>
      </c>
      <c r="K45" s="2" t="s">
        <v>300</v>
      </c>
      <c r="L45" s="2" t="s">
        <v>36</v>
      </c>
      <c r="M45" s="2" t="s">
        <v>423</v>
      </c>
      <c r="N45" s="2" t="s">
        <v>17</v>
      </c>
      <c r="O45" s="2"/>
      <c r="P45" s="2"/>
      <c r="Q45" s="2"/>
      <c r="R45" s="2"/>
      <c r="S45" s="2"/>
      <c r="T45" s="2"/>
      <c r="U45" s="2"/>
      <c r="V45" s="2"/>
      <c r="W45" s="2"/>
      <c r="X45" s="2"/>
      <c r="Y45" s="2"/>
      <c r="Z45" s="2"/>
      <c r="AA45" s="2"/>
    </row>
    <row r="46" spans="1:27" x14ac:dyDescent="0.25">
      <c r="A46" s="2" t="s">
        <v>376</v>
      </c>
      <c r="B46" s="2">
        <v>158</v>
      </c>
      <c r="C46" s="2">
        <v>1709</v>
      </c>
      <c r="D46" s="2" t="s">
        <v>408</v>
      </c>
      <c r="E46" s="2" t="s">
        <v>93</v>
      </c>
      <c r="F46" s="2" t="s">
        <v>602</v>
      </c>
      <c r="G46" s="2"/>
      <c r="H46" s="2"/>
      <c r="I46" s="2" t="s">
        <v>664</v>
      </c>
      <c r="J46" s="2" t="s">
        <v>588</v>
      </c>
      <c r="K46" s="2" t="s">
        <v>300</v>
      </c>
      <c r="L46" s="2" t="s">
        <v>36</v>
      </c>
      <c r="M46" s="2" t="s">
        <v>1038</v>
      </c>
      <c r="N46" s="2" t="s">
        <v>427</v>
      </c>
      <c r="O46" s="2" t="s">
        <v>17</v>
      </c>
      <c r="P46" s="2"/>
      <c r="Q46" s="2"/>
      <c r="R46" s="2"/>
      <c r="S46" s="2"/>
      <c r="T46" s="2"/>
      <c r="U46" s="2"/>
      <c r="V46" s="2"/>
      <c r="W46" s="2"/>
      <c r="X46" s="2"/>
      <c r="Y46" s="2"/>
      <c r="Z46" s="2"/>
      <c r="AA46" s="2"/>
    </row>
    <row r="47" spans="1:27" x14ac:dyDescent="0.25">
      <c r="A47" s="2" t="s">
        <v>374</v>
      </c>
      <c r="B47" s="2">
        <v>168</v>
      </c>
      <c r="C47" s="2">
        <v>1709</v>
      </c>
      <c r="D47" s="2" t="s">
        <v>407</v>
      </c>
      <c r="E47" s="2" t="s">
        <v>93</v>
      </c>
      <c r="F47" s="2" t="s">
        <v>602</v>
      </c>
      <c r="G47" s="2"/>
      <c r="H47" s="2"/>
      <c r="I47" s="2" t="s">
        <v>663</v>
      </c>
      <c r="J47" s="2" t="s">
        <v>589</v>
      </c>
      <c r="K47" s="2" t="s">
        <v>300</v>
      </c>
      <c r="L47" s="2" t="s">
        <v>36</v>
      </c>
      <c r="M47" s="2" t="s">
        <v>1038</v>
      </c>
      <c r="N47" s="2" t="s">
        <v>426</v>
      </c>
      <c r="O47" s="2" t="s">
        <v>17</v>
      </c>
      <c r="P47" s="2"/>
      <c r="Q47" s="2"/>
      <c r="R47" s="2"/>
      <c r="S47" s="2"/>
      <c r="T47" s="2"/>
      <c r="U47" s="2"/>
      <c r="V47" s="2"/>
      <c r="W47" s="2"/>
      <c r="X47" s="2"/>
      <c r="Y47" s="2"/>
      <c r="Z47" s="2"/>
      <c r="AA47" s="2"/>
    </row>
    <row r="48" spans="1:27" x14ac:dyDescent="0.25">
      <c r="A48" s="2" t="s">
        <v>413</v>
      </c>
      <c r="B48" s="2">
        <v>160</v>
      </c>
      <c r="C48" s="2">
        <v>1709</v>
      </c>
      <c r="D48" s="2" t="s">
        <v>410</v>
      </c>
      <c r="E48" s="2" t="s">
        <v>93</v>
      </c>
      <c r="F48" s="2" t="s">
        <v>602</v>
      </c>
      <c r="G48" s="2"/>
      <c r="H48" s="2"/>
      <c r="I48" s="2" t="s">
        <v>683</v>
      </c>
      <c r="J48" s="2" t="s">
        <v>589</v>
      </c>
      <c r="K48" s="2" t="s">
        <v>300</v>
      </c>
      <c r="L48" s="2" t="s">
        <v>36</v>
      </c>
      <c r="M48" s="2" t="s">
        <v>1038</v>
      </c>
      <c r="N48" s="2" t="s">
        <v>429</v>
      </c>
      <c r="O48" s="2" t="s">
        <v>17</v>
      </c>
      <c r="P48" s="2"/>
      <c r="Q48" s="2"/>
      <c r="R48" s="2"/>
      <c r="S48" s="2"/>
      <c r="T48" s="2"/>
      <c r="U48" s="2"/>
      <c r="V48" s="2"/>
      <c r="W48" s="2"/>
      <c r="X48" s="2"/>
      <c r="Y48" s="2"/>
      <c r="Z48" s="2"/>
      <c r="AA48" s="2"/>
    </row>
    <row r="49" spans="1:27" x14ac:dyDescent="0.25">
      <c r="A49" s="2" t="s">
        <v>414</v>
      </c>
      <c r="B49" s="2">
        <v>161</v>
      </c>
      <c r="C49" s="2">
        <v>1709</v>
      </c>
      <c r="D49" s="2" t="s">
        <v>411</v>
      </c>
      <c r="E49" s="2" t="s">
        <v>93</v>
      </c>
      <c r="F49" s="2" t="s">
        <v>602</v>
      </c>
      <c r="G49" s="2"/>
      <c r="H49" s="2"/>
      <c r="I49" s="2" t="s">
        <v>684</v>
      </c>
      <c r="J49" s="2" t="s">
        <v>588</v>
      </c>
      <c r="K49" s="2" t="s">
        <v>300</v>
      </c>
      <c r="L49" s="2" t="s">
        <v>36</v>
      </c>
      <c r="M49" s="2" t="s">
        <v>1038</v>
      </c>
      <c r="N49" s="2" t="s">
        <v>429</v>
      </c>
      <c r="O49" s="2" t="s">
        <v>17</v>
      </c>
      <c r="P49" s="2"/>
      <c r="Q49" s="2"/>
      <c r="R49" s="2"/>
      <c r="S49" s="2"/>
      <c r="T49" s="2"/>
      <c r="U49" s="2"/>
      <c r="V49" s="2"/>
      <c r="W49" s="2"/>
      <c r="X49" s="2"/>
      <c r="Y49" s="2"/>
      <c r="Z49" s="2"/>
      <c r="AA49" s="2"/>
    </row>
    <row r="50" spans="1:27" x14ac:dyDescent="0.25">
      <c r="A50" s="2" t="s">
        <v>412</v>
      </c>
      <c r="B50" s="2">
        <v>163</v>
      </c>
      <c r="C50" s="2">
        <v>1709</v>
      </c>
      <c r="D50" s="2" t="s">
        <v>409</v>
      </c>
      <c r="E50" s="2" t="s">
        <v>93</v>
      </c>
      <c r="F50" s="2" t="s">
        <v>602</v>
      </c>
      <c r="G50" s="2"/>
      <c r="H50" s="2"/>
      <c r="I50" s="2" t="s">
        <v>679</v>
      </c>
      <c r="J50" s="2" t="s">
        <v>588</v>
      </c>
      <c r="K50" s="2" t="s">
        <v>300</v>
      </c>
      <c r="L50" s="2" t="s">
        <v>36</v>
      </c>
      <c r="M50" s="2" t="s">
        <v>1038</v>
      </c>
      <c r="N50" s="2" t="s">
        <v>428</v>
      </c>
      <c r="O50" s="2" t="s">
        <v>17</v>
      </c>
      <c r="P50" s="2"/>
      <c r="Q50" s="2"/>
      <c r="R50" s="2"/>
      <c r="S50" s="2"/>
      <c r="T50" s="2"/>
      <c r="U50" s="2"/>
      <c r="V50" s="2"/>
      <c r="W50" s="2"/>
      <c r="X50" s="2"/>
      <c r="Y50" s="2"/>
      <c r="Z50" s="2"/>
      <c r="AA50" s="2"/>
    </row>
    <row r="51" spans="1:27" x14ac:dyDescent="0.25">
      <c r="A51" s="2" t="s">
        <v>415</v>
      </c>
      <c r="B51" s="2">
        <v>114</v>
      </c>
      <c r="C51" s="2">
        <v>1709</v>
      </c>
      <c r="D51" s="2" t="s">
        <v>689</v>
      </c>
      <c r="E51" s="2" t="s">
        <v>93</v>
      </c>
      <c r="F51" s="2" t="s">
        <v>501</v>
      </c>
      <c r="G51" s="2"/>
      <c r="H51" s="2" t="s">
        <v>626</v>
      </c>
      <c r="I51" s="2"/>
      <c r="J51" s="2"/>
      <c r="K51" s="2" t="s">
        <v>300</v>
      </c>
      <c r="L51" s="2" t="s">
        <v>9</v>
      </c>
      <c r="M51" s="2" t="s">
        <v>15</v>
      </c>
      <c r="N51" s="2" t="s">
        <v>911</v>
      </c>
      <c r="O51" s="4" t="s">
        <v>17</v>
      </c>
      <c r="P51" s="2"/>
      <c r="Q51" s="2"/>
      <c r="R51" s="2"/>
      <c r="S51" s="2"/>
      <c r="T51" s="2"/>
      <c r="U51" s="2"/>
      <c r="V51" s="2"/>
      <c r="W51" s="2"/>
      <c r="X51" s="2"/>
      <c r="Y51" s="2"/>
      <c r="Z51" s="2"/>
      <c r="AA51" s="2"/>
    </row>
    <row r="52" spans="1:27" x14ac:dyDescent="0.25">
      <c r="A52" s="2" t="s">
        <v>491</v>
      </c>
      <c r="B52" s="2">
        <v>114</v>
      </c>
      <c r="C52" s="2">
        <v>1709</v>
      </c>
      <c r="D52" s="2" t="s">
        <v>689</v>
      </c>
      <c r="E52" s="2" t="s">
        <v>93</v>
      </c>
      <c r="F52" s="2" t="s">
        <v>501</v>
      </c>
      <c r="G52" s="2"/>
      <c r="H52" s="2" t="s">
        <v>626</v>
      </c>
      <c r="I52" s="2"/>
      <c r="J52" s="2"/>
      <c r="K52" s="2" t="s">
        <v>300</v>
      </c>
      <c r="L52" s="2" t="s">
        <v>9</v>
      </c>
      <c r="M52" s="2" t="s">
        <v>15</v>
      </c>
      <c r="N52" s="2" t="s">
        <v>911</v>
      </c>
      <c r="O52" s="4" t="s">
        <v>17</v>
      </c>
      <c r="P52" s="2"/>
      <c r="Q52" s="2"/>
      <c r="R52" s="2"/>
      <c r="S52" s="2"/>
      <c r="T52" s="2"/>
      <c r="U52" s="2"/>
      <c r="V52" s="2"/>
      <c r="W52" s="2"/>
      <c r="X52" s="2"/>
      <c r="Y52" s="2"/>
      <c r="Z52" s="2"/>
      <c r="AA52" s="2"/>
    </row>
    <row r="53" spans="1:27" x14ac:dyDescent="0.25">
      <c r="A53" s="2" t="s">
        <v>1019</v>
      </c>
      <c r="B53" s="2">
        <v>114</v>
      </c>
      <c r="C53" s="2">
        <v>1709</v>
      </c>
      <c r="D53" s="2" t="s">
        <v>689</v>
      </c>
      <c r="E53" s="2" t="s">
        <v>93</v>
      </c>
      <c r="F53" s="2" t="s">
        <v>501</v>
      </c>
      <c r="G53" s="2"/>
      <c r="H53" s="2" t="s">
        <v>626</v>
      </c>
      <c r="I53" s="2"/>
      <c r="J53" s="2"/>
      <c r="K53" s="2" t="s">
        <v>300</v>
      </c>
      <c r="L53" s="2" t="s">
        <v>9</v>
      </c>
      <c r="M53" s="2" t="s">
        <v>15</v>
      </c>
      <c r="N53" s="2" t="s">
        <v>911</v>
      </c>
      <c r="O53" s="4" t="s">
        <v>17</v>
      </c>
      <c r="P53" s="2"/>
      <c r="Q53" s="2"/>
      <c r="R53" s="2"/>
      <c r="S53" s="2"/>
      <c r="T53" s="2"/>
      <c r="U53" s="2"/>
      <c r="V53" s="2"/>
      <c r="W53" s="2"/>
      <c r="X53" s="2"/>
      <c r="Y53" s="2"/>
      <c r="Z53" s="2"/>
      <c r="AA53" s="2"/>
    </row>
    <row r="54" spans="1:27" x14ac:dyDescent="0.25">
      <c r="A54" s="2" t="s">
        <v>416</v>
      </c>
      <c r="B54" s="35" t="s">
        <v>687</v>
      </c>
      <c r="C54" s="2">
        <v>1709</v>
      </c>
      <c r="D54" s="2" t="s">
        <v>366</v>
      </c>
      <c r="E54" s="2" t="s">
        <v>93</v>
      </c>
      <c r="F54" s="2" t="s">
        <v>501</v>
      </c>
      <c r="G54" s="2"/>
      <c r="H54" s="2"/>
      <c r="I54" s="2"/>
      <c r="J54" s="2" t="s">
        <v>588</v>
      </c>
      <c r="K54" s="2" t="s">
        <v>300</v>
      </c>
      <c r="L54" s="2" t="s">
        <v>36</v>
      </c>
      <c r="M54" s="2" t="s">
        <v>325</v>
      </c>
      <c r="N54" s="2" t="s">
        <v>363</v>
      </c>
      <c r="O54" s="2" t="s">
        <v>17</v>
      </c>
      <c r="P54" s="2"/>
      <c r="Q54" s="2"/>
      <c r="R54" s="2"/>
      <c r="S54" s="2"/>
      <c r="T54" s="2"/>
      <c r="U54" s="2"/>
      <c r="V54" s="2"/>
      <c r="W54" s="2"/>
      <c r="X54" s="2"/>
      <c r="Y54" s="2"/>
      <c r="Z54" s="2"/>
      <c r="AA54" s="2"/>
    </row>
    <row r="55" spans="1:27" x14ac:dyDescent="0.25">
      <c r="A55" s="2" t="s">
        <v>417</v>
      </c>
      <c r="B55" s="2">
        <v>1203</v>
      </c>
      <c r="C55" s="2">
        <v>1709</v>
      </c>
      <c r="D55" s="2" t="s">
        <v>367</v>
      </c>
      <c r="E55" s="2" t="s">
        <v>93</v>
      </c>
      <c r="F55" s="2" t="s">
        <v>501</v>
      </c>
      <c r="G55" s="2"/>
      <c r="H55" s="2"/>
      <c r="I55" s="2"/>
      <c r="J55" s="2" t="s">
        <v>588</v>
      </c>
      <c r="K55" s="2" t="s">
        <v>300</v>
      </c>
      <c r="L55" s="2" t="s">
        <v>36</v>
      </c>
      <c r="M55" s="2" t="s">
        <v>325</v>
      </c>
      <c r="N55" s="2" t="s">
        <v>363</v>
      </c>
      <c r="O55" s="2" t="s">
        <v>17</v>
      </c>
      <c r="P55" s="2"/>
      <c r="Q55" s="2"/>
      <c r="R55" s="2"/>
      <c r="S55" s="2"/>
      <c r="T55" s="2"/>
      <c r="U55" s="2"/>
      <c r="V55" s="2"/>
      <c r="W55" s="2"/>
      <c r="X55" s="2"/>
      <c r="Y55" s="2"/>
      <c r="Z55" s="2"/>
      <c r="AA55" s="2"/>
    </row>
    <row r="56" spans="1:27" x14ac:dyDescent="0.25">
      <c r="A56" s="2" t="s">
        <v>418</v>
      </c>
      <c r="B56" s="2">
        <v>1204</v>
      </c>
      <c r="C56" s="2">
        <v>1709</v>
      </c>
      <c r="D56" s="2" t="s">
        <v>373</v>
      </c>
      <c r="E56" s="2" t="s">
        <v>93</v>
      </c>
      <c r="F56" s="2" t="s">
        <v>501</v>
      </c>
      <c r="G56" s="2"/>
      <c r="H56" s="2"/>
      <c r="I56" s="2"/>
      <c r="J56" s="2" t="s">
        <v>588</v>
      </c>
      <c r="K56" s="2" t="s">
        <v>300</v>
      </c>
      <c r="L56" s="2" t="s">
        <v>36</v>
      </c>
      <c r="M56" s="2" t="s">
        <v>325</v>
      </c>
      <c r="N56" s="2" t="s">
        <v>363</v>
      </c>
      <c r="O56" s="2" t="s">
        <v>17</v>
      </c>
      <c r="P56" s="2"/>
      <c r="Q56" s="2"/>
      <c r="R56" s="2"/>
      <c r="S56" s="2"/>
      <c r="T56" s="2"/>
      <c r="U56" s="2"/>
      <c r="V56" s="2"/>
      <c r="W56" s="2"/>
      <c r="X56" s="2"/>
      <c r="Y56" s="2"/>
      <c r="Z56" s="2"/>
      <c r="AA56" s="2"/>
    </row>
    <row r="57" spans="1:27" x14ac:dyDescent="0.25">
      <c r="A57" s="2" t="s">
        <v>419</v>
      </c>
      <c r="B57" s="13" t="s">
        <v>690</v>
      </c>
      <c r="C57" s="2">
        <v>1709</v>
      </c>
      <c r="D57" s="2" t="s">
        <v>379</v>
      </c>
      <c r="E57" s="2" t="s">
        <v>93</v>
      </c>
      <c r="F57" s="2" t="s">
        <v>501</v>
      </c>
      <c r="G57" s="2"/>
      <c r="H57" s="2"/>
      <c r="I57" s="2"/>
      <c r="J57" s="2" t="s">
        <v>589</v>
      </c>
      <c r="K57" s="2" t="s">
        <v>300</v>
      </c>
      <c r="L57" s="2" t="s">
        <v>36</v>
      </c>
      <c r="M57" s="2" t="s">
        <v>325</v>
      </c>
      <c r="N57" s="2" t="s">
        <v>363</v>
      </c>
      <c r="O57" s="2" t="s">
        <v>17</v>
      </c>
      <c r="P57" s="2"/>
      <c r="Q57" s="2"/>
      <c r="R57" s="2"/>
      <c r="S57" s="2"/>
      <c r="T57" s="2"/>
      <c r="U57" s="2"/>
      <c r="V57" s="2"/>
      <c r="W57" s="2"/>
      <c r="X57" s="2"/>
      <c r="Y57" s="2"/>
      <c r="Z57" s="2"/>
      <c r="AA57" s="2"/>
    </row>
    <row r="58" spans="1:27" x14ac:dyDescent="0.25">
      <c r="A58" s="2" t="s">
        <v>420</v>
      </c>
      <c r="B58" s="13" t="s">
        <v>690</v>
      </c>
      <c r="C58" s="2">
        <v>1709</v>
      </c>
      <c r="D58" s="2" t="s">
        <v>380</v>
      </c>
      <c r="E58" s="2" t="s">
        <v>93</v>
      </c>
      <c r="F58" s="2" t="s">
        <v>501</v>
      </c>
      <c r="G58" s="2"/>
      <c r="H58" s="2"/>
      <c r="I58" s="2"/>
      <c r="J58" s="2" t="s">
        <v>589</v>
      </c>
      <c r="K58" s="2" t="s">
        <v>300</v>
      </c>
      <c r="L58" s="2" t="s">
        <v>36</v>
      </c>
      <c r="M58" s="2" t="s">
        <v>325</v>
      </c>
      <c r="N58" s="2" t="s">
        <v>363</v>
      </c>
      <c r="O58" s="2" t="s">
        <v>17</v>
      </c>
      <c r="P58" s="2"/>
      <c r="Q58" s="2"/>
      <c r="R58" s="2"/>
      <c r="S58" s="2"/>
      <c r="T58" s="2"/>
      <c r="U58" s="2"/>
      <c r="V58" s="2"/>
      <c r="W58" s="2"/>
      <c r="X58" s="2"/>
      <c r="Y58" s="2"/>
      <c r="Z58" s="2"/>
      <c r="AA58" s="2"/>
    </row>
    <row r="59" spans="1:27" x14ac:dyDescent="0.25">
      <c r="A59" s="2" t="s">
        <v>489</v>
      </c>
      <c r="B59" s="2">
        <v>1212</v>
      </c>
      <c r="C59" s="2">
        <v>1709</v>
      </c>
      <c r="D59" s="2" t="s">
        <v>496</v>
      </c>
      <c r="E59" s="2" t="s">
        <v>93</v>
      </c>
      <c r="F59" s="2" t="s">
        <v>501</v>
      </c>
      <c r="G59" s="2"/>
      <c r="H59" s="2"/>
      <c r="I59" s="2"/>
      <c r="J59" s="2" t="s">
        <v>588</v>
      </c>
      <c r="K59" s="2" t="s">
        <v>300</v>
      </c>
      <c r="L59" s="2" t="s">
        <v>36</v>
      </c>
      <c r="M59" s="2" t="s">
        <v>325</v>
      </c>
      <c r="N59" s="2" t="s">
        <v>363</v>
      </c>
      <c r="O59" s="2" t="s">
        <v>17</v>
      </c>
      <c r="P59" s="2"/>
      <c r="Q59" s="2"/>
      <c r="R59" s="2"/>
      <c r="S59" s="2"/>
      <c r="T59" s="2"/>
      <c r="U59" s="2"/>
      <c r="V59" s="2"/>
      <c r="W59" s="2"/>
      <c r="X59" s="2"/>
      <c r="Y59" s="2"/>
      <c r="Z59" s="2"/>
      <c r="AA59" s="2"/>
    </row>
    <row r="60" spans="1:27" x14ac:dyDescent="0.25">
      <c r="A60" s="2" t="s">
        <v>490</v>
      </c>
      <c r="B60" s="2">
        <v>1212</v>
      </c>
      <c r="C60" s="2">
        <v>1709</v>
      </c>
      <c r="D60" s="2" t="s">
        <v>497</v>
      </c>
      <c r="E60" s="2" t="s">
        <v>93</v>
      </c>
      <c r="F60" s="2" t="s">
        <v>501</v>
      </c>
      <c r="G60" s="2"/>
      <c r="H60" s="2"/>
      <c r="I60" s="2"/>
      <c r="J60" s="2" t="s">
        <v>588</v>
      </c>
      <c r="K60" s="2" t="s">
        <v>300</v>
      </c>
      <c r="L60" s="2" t="s">
        <v>36</v>
      </c>
      <c r="M60" s="2" t="s">
        <v>325</v>
      </c>
      <c r="N60" s="2" t="s">
        <v>363</v>
      </c>
      <c r="O60" s="2" t="s">
        <v>17</v>
      </c>
      <c r="P60" s="2"/>
      <c r="Q60" s="2"/>
      <c r="R60" s="2"/>
      <c r="S60" s="2"/>
      <c r="T60" s="2"/>
      <c r="U60" s="2"/>
      <c r="V60" s="2"/>
      <c r="W60" s="2"/>
      <c r="X60" s="2"/>
      <c r="Y60" s="2"/>
      <c r="Z60" s="2"/>
      <c r="AA60" s="2"/>
    </row>
    <row r="61" spans="1:27" x14ac:dyDescent="0.25">
      <c r="A61" s="2" t="s">
        <v>492</v>
      </c>
      <c r="B61" s="13" t="s">
        <v>688</v>
      </c>
      <c r="C61" s="2">
        <v>1709</v>
      </c>
      <c r="D61" s="2" t="s">
        <v>503</v>
      </c>
      <c r="E61" s="2" t="s">
        <v>93</v>
      </c>
      <c r="F61" s="2" t="s">
        <v>501</v>
      </c>
      <c r="G61" s="2"/>
      <c r="H61" s="2"/>
      <c r="I61" s="2"/>
      <c r="J61" s="2" t="s">
        <v>587</v>
      </c>
      <c r="K61" s="2" t="s">
        <v>300</v>
      </c>
      <c r="L61" s="2" t="s">
        <v>36</v>
      </c>
      <c r="M61" s="2" t="s">
        <v>325</v>
      </c>
      <c r="N61" s="2" t="s">
        <v>363</v>
      </c>
      <c r="O61" s="2" t="s">
        <v>17</v>
      </c>
      <c r="P61" s="2"/>
      <c r="Q61" s="2"/>
      <c r="R61" s="2"/>
      <c r="S61" s="2"/>
      <c r="T61" s="2"/>
      <c r="U61" s="2"/>
      <c r="V61" s="2"/>
      <c r="W61" s="2"/>
      <c r="X61" s="2"/>
      <c r="Y61" s="2"/>
      <c r="Z61" s="2"/>
      <c r="AA61" s="2"/>
    </row>
    <row r="62" spans="1:27" x14ac:dyDescent="0.25">
      <c r="A62" s="2" t="s">
        <v>1011</v>
      </c>
      <c r="B62" s="13" t="s">
        <v>1012</v>
      </c>
      <c r="C62" s="2">
        <v>1709</v>
      </c>
      <c r="D62" s="2" t="s">
        <v>1014</v>
      </c>
      <c r="E62" s="2" t="s">
        <v>93</v>
      </c>
      <c r="F62" s="2" t="s">
        <v>501</v>
      </c>
      <c r="G62" s="2"/>
      <c r="H62" s="2"/>
      <c r="I62" s="2"/>
      <c r="J62" s="2"/>
      <c r="K62" s="2" t="s">
        <v>300</v>
      </c>
      <c r="L62" s="2" t="s">
        <v>36</v>
      </c>
      <c r="M62" s="2" t="s">
        <v>325</v>
      </c>
      <c r="N62" s="2" t="s">
        <v>17</v>
      </c>
      <c r="O62" s="2"/>
      <c r="P62" s="2"/>
      <c r="Q62" s="2"/>
      <c r="R62" s="2"/>
      <c r="S62" s="2"/>
      <c r="T62" s="2"/>
      <c r="U62" s="2"/>
      <c r="V62" s="2"/>
      <c r="W62" s="2"/>
      <c r="X62" s="2"/>
      <c r="Y62" s="2"/>
      <c r="Z62" s="2"/>
      <c r="AA62" s="2"/>
    </row>
    <row r="63" spans="1:27" x14ac:dyDescent="0.25">
      <c r="A63" s="2" t="s">
        <v>1018</v>
      </c>
      <c r="B63" s="13" t="s">
        <v>1027</v>
      </c>
      <c r="C63" s="2">
        <v>1709</v>
      </c>
      <c r="D63" s="2" t="s">
        <v>1020</v>
      </c>
      <c r="E63" s="2" t="s">
        <v>93</v>
      </c>
      <c r="F63" s="2" t="s">
        <v>501</v>
      </c>
      <c r="G63" s="2"/>
      <c r="H63" s="2"/>
      <c r="I63" s="2"/>
      <c r="J63" s="2"/>
      <c r="K63" s="2" t="s">
        <v>300</v>
      </c>
      <c r="L63" s="2" t="s">
        <v>36</v>
      </c>
      <c r="M63" s="2" t="s">
        <v>325</v>
      </c>
      <c r="N63" s="2" t="s">
        <v>17</v>
      </c>
      <c r="O63" s="2"/>
      <c r="P63" s="2"/>
      <c r="Q63" s="2"/>
      <c r="R63" s="2"/>
      <c r="S63" s="2"/>
      <c r="T63" s="2"/>
      <c r="U63" s="2"/>
      <c r="V63" s="2"/>
      <c r="W63" s="2"/>
      <c r="X63" s="2"/>
      <c r="Y63" s="2"/>
      <c r="Z63" s="2"/>
      <c r="AA63" s="2"/>
    </row>
    <row r="64" spans="1:27" x14ac:dyDescent="0.25">
      <c r="A64" s="2" t="s">
        <v>1023</v>
      </c>
      <c r="B64" s="13" t="s">
        <v>1028</v>
      </c>
      <c r="C64" s="2">
        <v>1709</v>
      </c>
      <c r="D64" s="2" t="s">
        <v>1029</v>
      </c>
      <c r="E64" s="2" t="s">
        <v>93</v>
      </c>
      <c r="F64" s="2" t="s">
        <v>501</v>
      </c>
      <c r="G64" s="2"/>
      <c r="H64" s="2"/>
      <c r="I64" s="2"/>
      <c r="J64" s="2"/>
      <c r="K64" s="2" t="s">
        <v>300</v>
      </c>
      <c r="L64" s="2" t="s">
        <v>36</v>
      </c>
      <c r="M64" s="2" t="s">
        <v>325</v>
      </c>
      <c r="N64" s="2" t="s">
        <v>17</v>
      </c>
      <c r="O64" s="2"/>
      <c r="P64" s="2"/>
      <c r="Q64" s="2"/>
      <c r="R64" s="2"/>
      <c r="S64" s="2"/>
      <c r="T64" s="2"/>
      <c r="U64" s="2"/>
      <c r="V64" s="2"/>
      <c r="W64" s="2"/>
      <c r="X64" s="2"/>
      <c r="Y64" s="2"/>
      <c r="Z64" s="2"/>
      <c r="AA64" s="2"/>
    </row>
    <row r="65" spans="1:27" x14ac:dyDescent="0.25">
      <c r="A65" s="2" t="s">
        <v>508</v>
      </c>
      <c r="B65" s="35" t="s">
        <v>686</v>
      </c>
      <c r="C65" s="2">
        <v>1709</v>
      </c>
      <c r="D65" s="2" t="s">
        <v>509</v>
      </c>
      <c r="E65" s="2" t="s">
        <v>93</v>
      </c>
      <c r="F65" s="2" t="s">
        <v>625</v>
      </c>
      <c r="G65" s="2"/>
      <c r="H65" s="2"/>
      <c r="I65" s="2"/>
      <c r="J65" s="2"/>
      <c r="K65" s="2" t="s">
        <v>300</v>
      </c>
      <c r="L65" s="2" t="s">
        <v>510</v>
      </c>
      <c r="M65" s="2" t="s">
        <v>537</v>
      </c>
      <c r="N65" s="2" t="s">
        <v>17</v>
      </c>
      <c r="O65" s="2"/>
      <c r="P65" s="2"/>
      <c r="Q65" s="2"/>
      <c r="R65" s="2"/>
      <c r="S65" s="2"/>
      <c r="T65" s="2"/>
      <c r="U65" s="2"/>
      <c r="V65" s="2"/>
      <c r="W65" s="2"/>
      <c r="X65" s="2"/>
      <c r="Y65" s="2"/>
      <c r="Z65" s="2"/>
      <c r="AA65" s="2"/>
    </row>
    <row r="66" spans="1:27" x14ac:dyDescent="0.25">
      <c r="A66" s="2" t="s">
        <v>525</v>
      </c>
      <c r="B66" s="2">
        <v>1321</v>
      </c>
      <c r="C66" s="2">
        <v>1709</v>
      </c>
      <c r="D66" s="2" t="s">
        <v>538</v>
      </c>
      <c r="E66" s="2" t="s">
        <v>93</v>
      </c>
      <c r="F66" s="2" t="s">
        <v>625</v>
      </c>
      <c r="G66" s="2"/>
      <c r="H66" s="2"/>
      <c r="I66" s="2"/>
      <c r="J66" s="2"/>
      <c r="K66" s="2" t="s">
        <v>300</v>
      </c>
      <c r="L66" s="2" t="s">
        <v>510</v>
      </c>
      <c r="M66" s="2" t="s">
        <v>537</v>
      </c>
      <c r="N66" s="2" t="s">
        <v>17</v>
      </c>
      <c r="O66" s="2"/>
      <c r="P66" s="2"/>
      <c r="Q66" s="2"/>
      <c r="R66" s="2"/>
      <c r="S66" s="2"/>
      <c r="T66" s="2"/>
      <c r="U66" s="2"/>
      <c r="V66" s="2"/>
      <c r="W66" s="2"/>
      <c r="X66" s="2"/>
      <c r="Y66" s="2"/>
      <c r="Z66" s="2"/>
      <c r="AA66" s="2"/>
    </row>
    <row r="67" spans="1:27" x14ac:dyDescent="0.25">
      <c r="A67" s="2" t="s">
        <v>528</v>
      </c>
      <c r="B67" s="2">
        <v>1318</v>
      </c>
      <c r="C67" s="2">
        <v>1709</v>
      </c>
      <c r="D67" s="2" t="s">
        <v>539</v>
      </c>
      <c r="E67" s="2" t="s">
        <v>93</v>
      </c>
      <c r="F67" s="2" t="s">
        <v>625</v>
      </c>
      <c r="G67" s="2"/>
      <c r="H67" s="2"/>
      <c r="I67" s="2"/>
      <c r="J67" s="2"/>
      <c r="K67" s="2" t="s">
        <v>300</v>
      </c>
      <c r="L67" s="2" t="s">
        <v>510</v>
      </c>
      <c r="M67" s="2" t="s">
        <v>537</v>
      </c>
      <c r="N67" s="2" t="s">
        <v>17</v>
      </c>
      <c r="O67" s="2"/>
      <c r="P67" s="2"/>
      <c r="Q67" s="2"/>
      <c r="R67" s="2"/>
      <c r="S67" s="2"/>
      <c r="T67" s="2"/>
      <c r="U67" s="2"/>
      <c r="V67" s="2"/>
      <c r="W67" s="2"/>
      <c r="X67" s="2"/>
      <c r="Y67" s="2"/>
      <c r="Z67" s="2"/>
      <c r="AA67" s="2"/>
    </row>
    <row r="68" spans="1:27" x14ac:dyDescent="0.25">
      <c r="A68" s="2" t="s">
        <v>529</v>
      </c>
      <c r="B68" s="2">
        <v>1441</v>
      </c>
      <c r="C68" s="2">
        <v>1709</v>
      </c>
      <c r="D68" s="2" t="s">
        <v>546</v>
      </c>
      <c r="E68" s="2" t="s">
        <v>93</v>
      </c>
      <c r="F68" s="2" t="s">
        <v>625</v>
      </c>
      <c r="G68" s="2"/>
      <c r="H68" s="2"/>
      <c r="I68" s="2"/>
      <c r="J68" s="2"/>
      <c r="K68" s="2" t="s">
        <v>300</v>
      </c>
      <c r="L68" s="2" t="s">
        <v>510</v>
      </c>
      <c r="M68" s="2" t="s">
        <v>537</v>
      </c>
      <c r="N68" s="2" t="s">
        <v>17</v>
      </c>
      <c r="O68" s="2"/>
      <c r="P68" s="2"/>
      <c r="Q68" s="2"/>
      <c r="R68" s="2"/>
      <c r="S68" s="2"/>
      <c r="T68" s="2"/>
      <c r="U68" s="2"/>
      <c r="V68" s="2"/>
      <c r="W68" s="2"/>
      <c r="X68" s="2"/>
      <c r="Y68" s="2"/>
      <c r="Z68" s="2"/>
      <c r="AA68" s="2"/>
    </row>
    <row r="69" spans="1:27" x14ac:dyDescent="0.25">
      <c r="A69" s="2" t="s">
        <v>530</v>
      </c>
      <c r="B69" s="2">
        <v>1441</v>
      </c>
      <c r="C69" s="2">
        <v>1709</v>
      </c>
      <c r="D69" s="2" t="s">
        <v>556</v>
      </c>
      <c r="E69" s="2" t="s">
        <v>93</v>
      </c>
      <c r="F69" s="2" t="s">
        <v>625</v>
      </c>
      <c r="G69" s="2"/>
      <c r="H69" s="2"/>
      <c r="I69" s="2"/>
      <c r="J69" s="2"/>
      <c r="K69" s="2" t="s">
        <v>300</v>
      </c>
      <c r="L69" s="2" t="s">
        <v>510</v>
      </c>
      <c r="M69" s="2" t="s">
        <v>537</v>
      </c>
      <c r="N69" s="2" t="s">
        <v>17</v>
      </c>
      <c r="O69" s="2"/>
      <c r="P69" s="2"/>
      <c r="Q69" s="2"/>
      <c r="R69" s="2"/>
      <c r="S69" s="2"/>
      <c r="T69" s="2"/>
      <c r="U69" s="2"/>
      <c r="V69" s="2"/>
      <c r="W69" s="2"/>
      <c r="X69" s="2"/>
      <c r="Y69" s="2"/>
      <c r="Z69" s="2"/>
      <c r="AA69" s="2"/>
    </row>
    <row r="70" spans="1:27" x14ac:dyDescent="0.25">
      <c r="A70" s="2" t="s">
        <v>531</v>
      </c>
      <c r="B70" s="2">
        <v>1288</v>
      </c>
      <c r="C70" s="2">
        <v>1709</v>
      </c>
      <c r="D70" s="2" t="s">
        <v>555</v>
      </c>
      <c r="E70" s="2" t="s">
        <v>93</v>
      </c>
      <c r="F70" s="2" t="s">
        <v>625</v>
      </c>
      <c r="G70" s="2"/>
      <c r="H70" s="2"/>
      <c r="I70" s="2"/>
      <c r="J70" s="2"/>
      <c r="K70" s="2" t="s">
        <v>300</v>
      </c>
      <c r="L70" s="2" t="s">
        <v>510</v>
      </c>
      <c r="M70" s="2" t="s">
        <v>537</v>
      </c>
      <c r="N70" s="2" t="s">
        <v>17</v>
      </c>
      <c r="O70" s="2"/>
      <c r="P70" s="2"/>
      <c r="Q70" s="2"/>
      <c r="R70" s="2"/>
      <c r="S70" s="2"/>
      <c r="T70" s="2"/>
      <c r="U70" s="2"/>
      <c r="V70" s="2"/>
      <c r="W70" s="2"/>
      <c r="X70" s="2"/>
      <c r="Y70" s="2"/>
      <c r="Z70" s="2"/>
      <c r="AA70" s="2"/>
    </row>
    <row r="71" spans="1:27" x14ac:dyDescent="0.25">
      <c r="A71" s="2" t="s">
        <v>532</v>
      </c>
      <c r="B71" s="2">
        <v>1287</v>
      </c>
      <c r="C71" s="2">
        <v>1709</v>
      </c>
      <c r="D71" s="2" t="s">
        <v>564</v>
      </c>
      <c r="E71" s="2" t="s">
        <v>93</v>
      </c>
      <c r="F71" s="2" t="s">
        <v>625</v>
      </c>
      <c r="G71" s="2"/>
      <c r="H71" s="2"/>
      <c r="I71" s="2"/>
      <c r="J71" s="2"/>
      <c r="K71" s="2" t="s">
        <v>300</v>
      </c>
      <c r="L71" s="2" t="s">
        <v>510</v>
      </c>
      <c r="M71" s="2" t="s">
        <v>537</v>
      </c>
      <c r="N71" s="2" t="s">
        <v>17</v>
      </c>
      <c r="O71" s="2"/>
      <c r="P71" s="2"/>
      <c r="Q71" s="2"/>
      <c r="R71" s="2"/>
      <c r="S71" s="2"/>
      <c r="T71" s="2"/>
      <c r="U71" s="2"/>
      <c r="V71" s="2"/>
      <c r="W71" s="2"/>
      <c r="X71" s="2"/>
      <c r="Y71" s="2"/>
      <c r="Z71" s="2"/>
      <c r="AA71" s="2"/>
    </row>
    <row r="72" spans="1:27" x14ac:dyDescent="0.25">
      <c r="A72" s="2" t="s">
        <v>533</v>
      </c>
      <c r="B72" s="2">
        <v>1481</v>
      </c>
      <c r="C72" s="2">
        <v>1709</v>
      </c>
      <c r="D72" s="2" t="s">
        <v>563</v>
      </c>
      <c r="E72" s="2" t="s">
        <v>93</v>
      </c>
      <c r="F72" s="2" t="s">
        <v>625</v>
      </c>
      <c r="G72" s="2"/>
      <c r="H72" s="2"/>
      <c r="I72" s="2"/>
      <c r="J72" s="2"/>
      <c r="K72" s="2" t="s">
        <v>300</v>
      </c>
      <c r="L72" s="2" t="s">
        <v>510</v>
      </c>
      <c r="M72" s="2" t="s">
        <v>537</v>
      </c>
      <c r="N72" s="2" t="s">
        <v>17</v>
      </c>
      <c r="O72" s="2"/>
      <c r="P72" s="2"/>
      <c r="Q72" s="2"/>
      <c r="R72" s="2"/>
      <c r="S72" s="2"/>
      <c r="T72" s="2"/>
      <c r="U72" s="2"/>
      <c r="V72" s="2"/>
      <c r="W72" s="2"/>
      <c r="X72" s="2"/>
      <c r="Y72" s="2"/>
      <c r="Z72" s="2"/>
      <c r="AA72" s="2"/>
    </row>
    <row r="73" spans="1:27" x14ac:dyDescent="0.25">
      <c r="A73" s="2" t="s">
        <v>534</v>
      </c>
      <c r="B73" s="2">
        <v>1328</v>
      </c>
      <c r="C73" s="2">
        <v>1709</v>
      </c>
      <c r="D73" s="2" t="s">
        <v>568</v>
      </c>
      <c r="E73" s="2" t="s">
        <v>93</v>
      </c>
      <c r="F73" s="2" t="s">
        <v>625</v>
      </c>
      <c r="G73" s="2"/>
      <c r="H73" s="2"/>
      <c r="I73" s="2"/>
      <c r="J73" s="2"/>
      <c r="K73" s="2" t="s">
        <v>300</v>
      </c>
      <c r="L73" s="2" t="s">
        <v>510</v>
      </c>
      <c r="M73" s="2" t="s">
        <v>537</v>
      </c>
      <c r="N73" s="2" t="s">
        <v>17</v>
      </c>
      <c r="O73" s="2"/>
      <c r="P73" s="2"/>
      <c r="Q73" s="2"/>
      <c r="R73" s="2"/>
      <c r="S73" s="2"/>
      <c r="T73" s="2"/>
      <c r="U73" s="2"/>
      <c r="V73" s="2"/>
      <c r="W73" s="2"/>
      <c r="X73" s="2"/>
      <c r="Y73" s="2"/>
      <c r="Z73" s="2"/>
      <c r="AA73" s="2"/>
    </row>
    <row r="74" spans="1:27" x14ac:dyDescent="0.25">
      <c r="A74" s="2" t="s">
        <v>535</v>
      </c>
      <c r="B74" s="2">
        <v>1440</v>
      </c>
      <c r="C74" s="2">
        <v>1709</v>
      </c>
      <c r="D74" s="2" t="s">
        <v>542</v>
      </c>
      <c r="E74" s="2" t="s">
        <v>93</v>
      </c>
      <c r="F74" s="2" t="s">
        <v>625</v>
      </c>
      <c r="G74" s="2"/>
      <c r="H74" s="2"/>
      <c r="I74" s="2"/>
      <c r="J74" s="2"/>
      <c r="K74" s="2" t="s">
        <v>300</v>
      </c>
      <c r="L74" s="2" t="s">
        <v>510</v>
      </c>
      <c r="M74" s="2" t="s">
        <v>537</v>
      </c>
      <c r="N74" s="2" t="s">
        <v>17</v>
      </c>
      <c r="O74" s="2"/>
      <c r="P74" s="2"/>
      <c r="Q74" s="2"/>
      <c r="R74" s="2"/>
      <c r="S74" s="2"/>
      <c r="T74" s="2"/>
      <c r="U74" s="2"/>
      <c r="V74" s="2"/>
      <c r="W74" s="2"/>
      <c r="X74" s="2"/>
      <c r="Y74" s="2"/>
      <c r="Z74" s="2"/>
      <c r="AA74" s="2"/>
    </row>
    <row r="75" spans="1:27" x14ac:dyDescent="0.25">
      <c r="A75" s="2" t="s">
        <v>536</v>
      </c>
      <c r="B75" s="2">
        <v>116</v>
      </c>
      <c r="C75" s="2">
        <v>1709</v>
      </c>
      <c r="D75" s="2" t="s">
        <v>612</v>
      </c>
      <c r="E75" s="2" t="s">
        <v>93</v>
      </c>
      <c r="F75" s="2" t="s">
        <v>621</v>
      </c>
      <c r="G75" s="2"/>
      <c r="H75" s="2" t="s">
        <v>626</v>
      </c>
      <c r="I75" s="2"/>
      <c r="J75" s="2"/>
      <c r="K75" s="2" t="s">
        <v>300</v>
      </c>
      <c r="L75" s="2" t="s">
        <v>9</v>
      </c>
      <c r="M75" s="2" t="s">
        <v>15</v>
      </c>
      <c r="N75" s="2" t="s">
        <v>245</v>
      </c>
      <c r="O75" s="2" t="s">
        <v>17</v>
      </c>
      <c r="P75" s="2"/>
      <c r="Q75" s="2"/>
      <c r="R75" s="2"/>
      <c r="S75" s="2"/>
      <c r="T75" s="2"/>
      <c r="U75" s="2"/>
      <c r="V75" s="2"/>
      <c r="W75" s="2"/>
      <c r="X75" s="2"/>
      <c r="Y75" s="2"/>
      <c r="Z75" s="2"/>
      <c r="AA75" s="2"/>
    </row>
    <row r="76" spans="1:27" x14ac:dyDescent="0.25">
      <c r="A76" s="2" t="s">
        <v>574</v>
      </c>
      <c r="B76" s="2">
        <v>1</v>
      </c>
      <c r="C76" s="2">
        <v>1</v>
      </c>
      <c r="D76" s="2" t="s">
        <v>613</v>
      </c>
      <c r="E76" s="2" t="s">
        <v>93</v>
      </c>
      <c r="F76" s="2" t="s">
        <v>621</v>
      </c>
      <c r="G76" s="2"/>
      <c r="H76" s="2"/>
      <c r="I76" s="2"/>
      <c r="J76" s="2"/>
      <c r="K76" s="2" t="s">
        <v>300</v>
      </c>
      <c r="L76" s="2" t="s">
        <v>36</v>
      </c>
      <c r="M76" s="2" t="s">
        <v>614</v>
      </c>
      <c r="N76" s="2" t="s">
        <v>615</v>
      </c>
      <c r="O76" s="2" t="s">
        <v>17</v>
      </c>
      <c r="P76" s="2"/>
      <c r="Q76" s="2"/>
      <c r="R76" s="2"/>
      <c r="S76" s="2"/>
      <c r="T76" s="2"/>
      <c r="U76" s="2"/>
      <c r="V76" s="2"/>
      <c r="W76" s="2"/>
      <c r="X76" s="2"/>
      <c r="Y76" s="2"/>
      <c r="Z76" s="2"/>
      <c r="AA76" s="2"/>
    </row>
    <row r="77" spans="1:27" x14ac:dyDescent="0.25">
      <c r="A77" s="2" t="s">
        <v>575</v>
      </c>
      <c r="B77" s="2">
        <v>1</v>
      </c>
      <c r="C77" s="2">
        <v>1</v>
      </c>
      <c r="D77" s="2" t="s">
        <v>616</v>
      </c>
      <c r="E77" s="2" t="s">
        <v>93</v>
      </c>
      <c r="F77" s="2" t="s">
        <v>621</v>
      </c>
      <c r="G77" s="2"/>
      <c r="H77" s="2"/>
      <c r="I77" s="2"/>
      <c r="J77" s="2"/>
      <c r="K77" s="2" t="s">
        <v>300</v>
      </c>
      <c r="L77" s="2" t="s">
        <v>36</v>
      </c>
      <c r="M77" s="2" t="s">
        <v>614</v>
      </c>
      <c r="N77" s="2" t="s">
        <v>615</v>
      </c>
      <c r="O77" s="2" t="s">
        <v>17</v>
      </c>
      <c r="P77" s="2"/>
      <c r="Q77" s="2"/>
      <c r="R77" s="2"/>
      <c r="S77" s="2"/>
      <c r="T77" s="2"/>
      <c r="U77" s="2"/>
      <c r="V77" s="2"/>
      <c r="W77" s="2"/>
      <c r="X77" s="2"/>
      <c r="Y77" s="2"/>
      <c r="Z77" s="2"/>
      <c r="AA77" s="2"/>
    </row>
    <row r="78" spans="1:27" x14ac:dyDescent="0.25">
      <c r="A78" s="2" t="s">
        <v>576</v>
      </c>
      <c r="B78" s="13" t="s">
        <v>936</v>
      </c>
      <c r="C78" s="2">
        <v>1907</v>
      </c>
      <c r="D78" s="2" t="s">
        <v>790</v>
      </c>
      <c r="E78" s="2" t="s">
        <v>93</v>
      </c>
      <c r="F78" s="2" t="s">
        <v>791</v>
      </c>
      <c r="G78" s="2"/>
      <c r="H78" s="2"/>
      <c r="I78" s="2"/>
      <c r="J78" s="2"/>
      <c r="K78" s="2" t="s">
        <v>300</v>
      </c>
      <c r="L78" s="2" t="s">
        <v>9</v>
      </c>
      <c r="M78" s="2" t="s">
        <v>15</v>
      </c>
      <c r="N78" s="2" t="s">
        <v>798</v>
      </c>
      <c r="O78" s="2" t="s">
        <v>245</v>
      </c>
      <c r="P78" s="2" t="s">
        <v>10</v>
      </c>
      <c r="Q78" s="2" t="s">
        <v>792</v>
      </c>
      <c r="R78" s="2" t="s">
        <v>793</v>
      </c>
      <c r="S78" s="2" t="s">
        <v>794</v>
      </c>
      <c r="T78" s="2" t="s">
        <v>17</v>
      </c>
      <c r="U78" s="2"/>
      <c r="V78" s="2"/>
      <c r="W78" s="2"/>
      <c r="X78" s="2"/>
      <c r="Y78" s="2"/>
      <c r="Z78" s="2"/>
      <c r="AA78" s="2"/>
    </row>
    <row r="79" spans="1:27" x14ac:dyDescent="0.25">
      <c r="A79" s="2" t="s">
        <v>577</v>
      </c>
      <c r="B79" s="13" t="s">
        <v>937</v>
      </c>
      <c r="C79" s="2">
        <v>1907</v>
      </c>
      <c r="D79" s="2" t="s">
        <v>938</v>
      </c>
      <c r="E79" s="2" t="s">
        <v>93</v>
      </c>
      <c r="F79" s="2" t="s">
        <v>791</v>
      </c>
      <c r="G79" s="2"/>
      <c r="H79" s="2"/>
      <c r="I79" s="2"/>
      <c r="J79" s="2"/>
      <c r="K79" s="2" t="s">
        <v>300</v>
      </c>
      <c r="L79" s="2" t="s">
        <v>9</v>
      </c>
      <c r="M79" s="2" t="s">
        <v>15</v>
      </c>
      <c r="N79" s="2" t="s">
        <v>245</v>
      </c>
      <c r="O79" s="2" t="s">
        <v>10</v>
      </c>
      <c r="P79" s="2" t="s">
        <v>939</v>
      </c>
      <c r="Q79" s="2" t="s">
        <v>17</v>
      </c>
      <c r="R79" s="2"/>
      <c r="S79" s="2"/>
      <c r="T79" s="2"/>
      <c r="U79" s="2"/>
      <c r="V79" s="2"/>
      <c r="W79" s="2"/>
      <c r="X79" s="2"/>
      <c r="Y79" s="2"/>
      <c r="Z79" s="2"/>
      <c r="AA79" s="2"/>
    </row>
    <row r="80" spans="1:27" x14ac:dyDescent="0.25">
      <c r="A80" s="2" t="s">
        <v>578</v>
      </c>
      <c r="B80" s="13" t="s">
        <v>795</v>
      </c>
      <c r="C80" s="2">
        <v>1907</v>
      </c>
      <c r="D80" s="2" t="s">
        <v>796</v>
      </c>
      <c r="E80" s="2" t="s">
        <v>93</v>
      </c>
      <c r="F80" s="2" t="s">
        <v>797</v>
      </c>
      <c r="G80" s="2"/>
      <c r="H80" s="2"/>
      <c r="I80" s="2"/>
      <c r="J80" s="2"/>
      <c r="K80" s="2" t="s">
        <v>300</v>
      </c>
      <c r="L80" s="2" t="s">
        <v>798</v>
      </c>
      <c r="M80" s="2" t="s">
        <v>17</v>
      </c>
      <c r="N80" s="2"/>
      <c r="O80" s="2"/>
      <c r="P80" s="2"/>
      <c r="Q80" s="2"/>
      <c r="R80" s="2"/>
      <c r="S80" s="2"/>
      <c r="T80" s="2"/>
      <c r="U80" s="2"/>
      <c r="V80" s="2"/>
      <c r="W80" s="2"/>
      <c r="X80" s="2"/>
      <c r="Y80" s="2"/>
      <c r="Z80" s="2"/>
      <c r="AA80" s="2"/>
    </row>
    <row r="81" spans="1:27" x14ac:dyDescent="0.25">
      <c r="A81" s="2" t="s">
        <v>579</v>
      </c>
      <c r="B81" s="13" t="s">
        <v>799</v>
      </c>
      <c r="C81" s="2">
        <v>1907</v>
      </c>
      <c r="D81" s="2" t="s">
        <v>800</v>
      </c>
      <c r="E81" s="2" t="s">
        <v>93</v>
      </c>
      <c r="F81" s="2" t="s">
        <v>797</v>
      </c>
      <c r="G81" s="2"/>
      <c r="H81" s="2"/>
      <c r="I81" s="2"/>
      <c r="J81" s="2"/>
      <c r="K81" s="2" t="s">
        <v>300</v>
      </c>
      <c r="L81" s="2" t="s">
        <v>798</v>
      </c>
      <c r="M81" s="2" t="s">
        <v>17</v>
      </c>
      <c r="N81" s="2"/>
      <c r="O81" s="2"/>
      <c r="P81" s="2"/>
      <c r="Q81" s="2"/>
      <c r="R81" s="2"/>
      <c r="S81" s="2"/>
      <c r="T81" s="2"/>
      <c r="U81" s="2"/>
      <c r="V81" s="2"/>
      <c r="W81" s="2"/>
      <c r="X81" s="2"/>
      <c r="Y81" s="2"/>
      <c r="Z81" s="2"/>
      <c r="AA81" s="2"/>
    </row>
    <row r="82" spans="1:27" x14ac:dyDescent="0.25">
      <c r="A82" s="2" t="s">
        <v>580</v>
      </c>
      <c r="B82" s="13" t="s">
        <v>801</v>
      </c>
      <c r="C82" s="2">
        <v>1907</v>
      </c>
      <c r="D82" s="2" t="s">
        <v>802</v>
      </c>
      <c r="E82" s="2" t="s">
        <v>93</v>
      </c>
      <c r="F82" s="2" t="s">
        <v>797</v>
      </c>
      <c r="G82" s="2"/>
      <c r="H82" s="2"/>
      <c r="I82" s="2"/>
      <c r="J82" s="2"/>
      <c r="K82" s="2" t="s">
        <v>300</v>
      </c>
      <c r="L82" s="2" t="s">
        <v>798</v>
      </c>
      <c r="M82" s="2" t="s">
        <v>17</v>
      </c>
      <c r="N82" s="2"/>
      <c r="O82" s="2"/>
      <c r="P82" s="2"/>
      <c r="Q82" s="2"/>
      <c r="R82" s="2"/>
      <c r="S82" s="2"/>
      <c r="T82" s="2"/>
      <c r="U82" s="2"/>
      <c r="V82" s="2"/>
      <c r="W82" s="2"/>
      <c r="X82" s="2"/>
      <c r="Y82" s="2"/>
      <c r="Z82" s="2"/>
      <c r="AA82" s="2"/>
    </row>
    <row r="83" spans="1:27" x14ac:dyDescent="0.25">
      <c r="A83" s="2" t="s">
        <v>581</v>
      </c>
      <c r="B83" s="13" t="s">
        <v>803</v>
      </c>
      <c r="C83" s="2">
        <v>1907</v>
      </c>
      <c r="D83" s="2" t="s">
        <v>804</v>
      </c>
      <c r="E83" s="2" t="s">
        <v>93</v>
      </c>
      <c r="F83" s="2" t="s">
        <v>797</v>
      </c>
      <c r="G83" s="2"/>
      <c r="H83" s="2"/>
      <c r="I83" s="2"/>
      <c r="J83" s="2"/>
      <c r="K83" s="2" t="s">
        <v>300</v>
      </c>
      <c r="L83" s="2" t="s">
        <v>798</v>
      </c>
      <c r="M83" s="2" t="s">
        <v>17</v>
      </c>
      <c r="N83" s="2"/>
      <c r="O83" s="2"/>
      <c r="P83" s="2"/>
      <c r="Q83" s="2"/>
      <c r="R83" s="2"/>
      <c r="S83" s="2"/>
      <c r="T83" s="2"/>
      <c r="U83" s="2"/>
      <c r="V83" s="2"/>
      <c r="W83" s="2"/>
      <c r="X83" s="2"/>
      <c r="Y83" s="2"/>
      <c r="Z83" s="2"/>
      <c r="AA83" s="2"/>
    </row>
    <row r="84" spans="1:27" x14ac:dyDescent="0.25">
      <c r="A84" s="2" t="s">
        <v>728</v>
      </c>
      <c r="B84" s="13" t="s">
        <v>805</v>
      </c>
      <c r="C84" s="2">
        <v>1901</v>
      </c>
      <c r="D84" s="2" t="s">
        <v>806</v>
      </c>
      <c r="E84" s="2" t="s">
        <v>93</v>
      </c>
      <c r="F84" s="2" t="s">
        <v>797</v>
      </c>
      <c r="G84" s="2"/>
      <c r="H84" s="2"/>
      <c r="I84" s="2"/>
      <c r="J84" s="2"/>
      <c r="K84" s="2" t="s">
        <v>300</v>
      </c>
      <c r="L84" s="2" t="s">
        <v>798</v>
      </c>
      <c r="M84" s="2" t="s">
        <v>17</v>
      </c>
      <c r="N84" s="2"/>
      <c r="O84" s="2"/>
      <c r="P84" s="2"/>
      <c r="Q84" s="2"/>
      <c r="R84" s="2"/>
      <c r="S84" s="2"/>
      <c r="T84" s="2"/>
      <c r="U84" s="2"/>
      <c r="V84" s="2"/>
      <c r="W84" s="2"/>
      <c r="X84" s="2"/>
      <c r="Y84" s="2"/>
      <c r="Z84" s="2"/>
      <c r="AA84" s="2"/>
    </row>
    <row r="85" spans="1:27" x14ac:dyDescent="0.25">
      <c r="A85" s="2" t="s">
        <v>729</v>
      </c>
      <c r="B85" s="13" t="s">
        <v>807</v>
      </c>
      <c r="C85" s="2">
        <v>1907</v>
      </c>
      <c r="D85" s="2" t="s">
        <v>808</v>
      </c>
      <c r="E85" s="2" t="s">
        <v>93</v>
      </c>
      <c r="F85" s="2" t="s">
        <v>797</v>
      </c>
      <c r="G85" s="2"/>
      <c r="H85" s="2"/>
      <c r="I85" s="2"/>
      <c r="J85" s="2"/>
      <c r="K85" s="2" t="s">
        <v>300</v>
      </c>
      <c r="L85" s="2" t="s">
        <v>798</v>
      </c>
      <c r="M85" s="2" t="s">
        <v>17</v>
      </c>
      <c r="N85" s="2"/>
      <c r="O85" s="2"/>
      <c r="P85" s="2"/>
      <c r="Q85" s="2"/>
      <c r="R85" s="2"/>
      <c r="S85" s="2"/>
      <c r="T85" s="2"/>
      <c r="U85" s="2"/>
      <c r="V85" s="2"/>
      <c r="W85" s="2"/>
      <c r="X85" s="2"/>
      <c r="Y85" s="2"/>
      <c r="Z85" s="2"/>
      <c r="AA85" s="2"/>
    </row>
    <row r="86" spans="1:27" x14ac:dyDescent="0.25">
      <c r="A86" s="2" t="s">
        <v>730</v>
      </c>
      <c r="B86" s="13" t="s">
        <v>809</v>
      </c>
      <c r="C86" s="2">
        <v>1907</v>
      </c>
      <c r="D86" s="2" t="s">
        <v>810</v>
      </c>
      <c r="E86" s="2" t="s">
        <v>93</v>
      </c>
      <c r="F86" s="2" t="s">
        <v>797</v>
      </c>
      <c r="G86" s="2"/>
      <c r="H86" s="2"/>
      <c r="I86" s="2"/>
      <c r="J86" s="2"/>
      <c r="K86" s="2" t="s">
        <v>300</v>
      </c>
      <c r="L86" s="2" t="s">
        <v>798</v>
      </c>
      <c r="M86" s="2" t="s">
        <v>17</v>
      </c>
      <c r="N86" s="2"/>
      <c r="O86" s="2"/>
      <c r="P86" s="2"/>
      <c r="Q86" s="2"/>
      <c r="R86" s="2"/>
      <c r="S86" s="2"/>
      <c r="T86" s="2"/>
      <c r="U86" s="2"/>
      <c r="V86" s="2"/>
      <c r="W86" s="2"/>
      <c r="X86" s="2"/>
      <c r="Y86" s="2"/>
      <c r="Z86" s="2"/>
      <c r="AA86" s="2"/>
    </row>
    <row r="87" spans="1:27" x14ac:dyDescent="0.25">
      <c r="A87" s="2" t="s">
        <v>731</v>
      </c>
      <c r="B87" s="13" t="s">
        <v>811</v>
      </c>
      <c r="C87" s="2">
        <v>1907</v>
      </c>
      <c r="D87" s="2" t="s">
        <v>812</v>
      </c>
      <c r="E87" s="2" t="s">
        <v>93</v>
      </c>
      <c r="F87" s="2" t="s">
        <v>797</v>
      </c>
      <c r="G87" s="2"/>
      <c r="H87" s="2"/>
      <c r="I87" s="2"/>
      <c r="J87" s="2"/>
      <c r="K87" s="2" t="s">
        <v>300</v>
      </c>
      <c r="L87" s="2" t="s">
        <v>798</v>
      </c>
      <c r="M87" s="2" t="s">
        <v>17</v>
      </c>
      <c r="N87" s="2"/>
      <c r="O87" s="2"/>
      <c r="P87" s="2"/>
      <c r="Q87" s="2"/>
      <c r="R87" s="2"/>
      <c r="S87" s="2"/>
      <c r="T87" s="2"/>
      <c r="U87" s="2"/>
      <c r="V87" s="2"/>
      <c r="W87" s="2"/>
      <c r="X87" s="2"/>
      <c r="Y87" s="2"/>
      <c r="Z87" s="2"/>
      <c r="AA87" s="2"/>
    </row>
    <row r="88" spans="1:27" x14ac:dyDescent="0.25">
      <c r="A88" s="2" t="s">
        <v>732</v>
      </c>
      <c r="B88" s="13" t="s">
        <v>813</v>
      </c>
      <c r="C88" s="2">
        <v>1907</v>
      </c>
      <c r="D88" s="2" t="s">
        <v>814</v>
      </c>
      <c r="E88" s="2" t="s">
        <v>93</v>
      </c>
      <c r="F88" s="2" t="s">
        <v>797</v>
      </c>
      <c r="G88" s="2"/>
      <c r="H88" s="2"/>
      <c r="I88" s="2"/>
      <c r="J88" s="2"/>
      <c r="K88" s="2" t="s">
        <v>300</v>
      </c>
      <c r="L88" s="2" t="s">
        <v>798</v>
      </c>
      <c r="M88" s="2" t="s">
        <v>17</v>
      </c>
      <c r="N88" s="2"/>
      <c r="O88" s="2"/>
      <c r="P88" s="2"/>
      <c r="Q88" s="2"/>
      <c r="R88" s="2"/>
      <c r="S88" s="2"/>
      <c r="T88" s="2"/>
      <c r="U88" s="2"/>
      <c r="V88" s="2"/>
      <c r="W88" s="2"/>
      <c r="X88" s="2"/>
      <c r="Y88" s="2"/>
      <c r="Z88" s="2"/>
      <c r="AA88" s="2"/>
    </row>
    <row r="89" spans="1:27" x14ac:dyDescent="0.25">
      <c r="A89" s="2" t="s">
        <v>735</v>
      </c>
      <c r="B89" s="2">
        <v>114</v>
      </c>
      <c r="C89" s="2">
        <v>1709</v>
      </c>
      <c r="D89" s="2" t="s">
        <v>696</v>
      </c>
      <c r="E89" s="2" t="s">
        <v>93</v>
      </c>
      <c r="F89" s="2" t="s">
        <v>697</v>
      </c>
      <c r="G89" s="2"/>
      <c r="H89" s="2" t="s">
        <v>626</v>
      </c>
      <c r="I89" s="2"/>
      <c r="J89" s="2"/>
      <c r="K89" s="2" t="s">
        <v>300</v>
      </c>
      <c r="L89" s="2" t="s">
        <v>9</v>
      </c>
      <c r="M89" s="2" t="s">
        <v>15</v>
      </c>
      <c r="N89" s="2" t="s">
        <v>245</v>
      </c>
      <c r="O89" s="2" t="s">
        <v>325</v>
      </c>
      <c r="P89" s="2" t="s">
        <v>717</v>
      </c>
      <c r="Q89" s="2" t="s">
        <v>17</v>
      </c>
      <c r="R89" s="2"/>
      <c r="S89" s="2"/>
      <c r="T89" s="2"/>
      <c r="U89" s="2"/>
      <c r="V89" s="2"/>
      <c r="W89" s="2"/>
      <c r="X89" s="2"/>
      <c r="Y89" s="2"/>
      <c r="Z89" s="2"/>
      <c r="AA89" s="2"/>
    </row>
    <row r="90" spans="1:27" x14ac:dyDescent="0.25">
      <c r="A90" s="2" t="s">
        <v>849</v>
      </c>
      <c r="B90" s="2">
        <v>114</v>
      </c>
      <c r="C90" s="2">
        <v>1709</v>
      </c>
      <c r="D90" s="2" t="s">
        <v>696</v>
      </c>
      <c r="E90" s="2" t="s">
        <v>93</v>
      </c>
      <c r="F90" s="2" t="s">
        <v>697</v>
      </c>
      <c r="G90" s="2"/>
      <c r="H90" s="2" t="s">
        <v>626</v>
      </c>
      <c r="I90" s="2"/>
      <c r="J90" s="2"/>
      <c r="K90" s="2" t="s">
        <v>300</v>
      </c>
      <c r="L90" s="2" t="s">
        <v>9</v>
      </c>
      <c r="M90" s="2" t="s">
        <v>15</v>
      </c>
      <c r="N90" s="2" t="s">
        <v>245</v>
      </c>
      <c r="O90" s="2" t="s">
        <v>325</v>
      </c>
      <c r="P90" s="2" t="s">
        <v>717</v>
      </c>
      <c r="Q90" s="2" t="s">
        <v>17</v>
      </c>
      <c r="R90" s="2"/>
      <c r="S90" s="2"/>
      <c r="T90" s="2"/>
      <c r="U90" s="2"/>
      <c r="V90" s="2"/>
      <c r="W90" s="2"/>
      <c r="X90" s="2"/>
      <c r="Y90" s="2"/>
      <c r="Z90" s="2"/>
      <c r="AA90" s="2"/>
    </row>
    <row r="91" spans="1:27" x14ac:dyDescent="0.25">
      <c r="A91" s="2" t="s">
        <v>864</v>
      </c>
      <c r="B91" s="2">
        <v>114</v>
      </c>
      <c r="C91" s="2">
        <v>1709</v>
      </c>
      <c r="D91" s="2" t="s">
        <v>696</v>
      </c>
      <c r="E91" s="2" t="s">
        <v>93</v>
      </c>
      <c r="F91" s="2" t="s">
        <v>697</v>
      </c>
      <c r="G91" s="2"/>
      <c r="H91" s="2" t="s">
        <v>626</v>
      </c>
      <c r="I91" s="2"/>
      <c r="J91" s="2"/>
      <c r="K91" s="2" t="s">
        <v>300</v>
      </c>
      <c r="L91" s="2" t="s">
        <v>9</v>
      </c>
      <c r="M91" s="2" t="s">
        <v>15</v>
      </c>
      <c r="N91" s="2" t="s">
        <v>245</v>
      </c>
      <c r="O91" s="2" t="s">
        <v>325</v>
      </c>
      <c r="P91" s="2" t="s">
        <v>717</v>
      </c>
      <c r="Q91" s="2" t="s">
        <v>17</v>
      </c>
      <c r="R91" s="2"/>
      <c r="S91" s="2"/>
      <c r="T91" s="2"/>
      <c r="U91" s="2"/>
      <c r="V91" s="2"/>
      <c r="W91" s="2"/>
      <c r="X91" s="2"/>
      <c r="Y91" s="2"/>
      <c r="Z91" s="2"/>
      <c r="AA91" s="2"/>
    </row>
    <row r="92" spans="1:27" x14ac:dyDescent="0.25">
      <c r="A92" s="2" t="s">
        <v>868</v>
      </c>
      <c r="B92" s="2">
        <v>114</v>
      </c>
      <c r="C92" s="2">
        <v>1709</v>
      </c>
      <c r="D92" s="2" t="s">
        <v>696</v>
      </c>
      <c r="E92" s="2" t="s">
        <v>93</v>
      </c>
      <c r="F92" s="2" t="s">
        <v>697</v>
      </c>
      <c r="G92" s="2"/>
      <c r="H92" s="2" t="s">
        <v>626</v>
      </c>
      <c r="I92" s="2"/>
      <c r="J92" s="2"/>
      <c r="K92" s="2" t="s">
        <v>300</v>
      </c>
      <c r="L92" s="2" t="s">
        <v>9</v>
      </c>
      <c r="M92" s="2" t="s">
        <v>15</v>
      </c>
      <c r="N92" s="2" t="s">
        <v>245</v>
      </c>
      <c r="O92" s="2" t="s">
        <v>325</v>
      </c>
      <c r="P92" s="2" t="s">
        <v>717</v>
      </c>
      <c r="Q92" s="2" t="s">
        <v>17</v>
      </c>
      <c r="R92" s="2"/>
      <c r="S92" s="2"/>
      <c r="T92" s="2"/>
      <c r="U92" s="2"/>
      <c r="V92" s="2"/>
      <c r="W92" s="2"/>
      <c r="X92" s="2"/>
      <c r="Y92" s="2"/>
      <c r="Z92" s="2"/>
      <c r="AA92" s="2"/>
    </row>
    <row r="93" spans="1:27" x14ac:dyDescent="0.25">
      <c r="A93" s="2" t="s">
        <v>869</v>
      </c>
      <c r="B93" s="2">
        <v>114</v>
      </c>
      <c r="C93" s="2">
        <v>1709</v>
      </c>
      <c r="D93" s="2" t="s">
        <v>696</v>
      </c>
      <c r="E93" s="2" t="s">
        <v>93</v>
      </c>
      <c r="F93" s="2" t="s">
        <v>697</v>
      </c>
      <c r="G93" s="2"/>
      <c r="H93" s="2" t="s">
        <v>626</v>
      </c>
      <c r="I93" s="2"/>
      <c r="J93" s="2"/>
      <c r="K93" s="2" t="s">
        <v>300</v>
      </c>
      <c r="L93" s="2" t="s">
        <v>9</v>
      </c>
      <c r="M93" s="2" t="s">
        <v>15</v>
      </c>
      <c r="N93" s="2" t="s">
        <v>245</v>
      </c>
      <c r="O93" s="2" t="s">
        <v>325</v>
      </c>
      <c r="P93" s="2" t="s">
        <v>717</v>
      </c>
      <c r="Q93" s="2" t="s">
        <v>17</v>
      </c>
      <c r="R93" s="2"/>
      <c r="S93" s="2"/>
      <c r="T93" s="2"/>
      <c r="U93" s="2"/>
      <c r="V93" s="2"/>
      <c r="W93" s="2"/>
      <c r="X93" s="2"/>
      <c r="Y93" s="2"/>
      <c r="Z93" s="2"/>
      <c r="AA93" s="2"/>
    </row>
    <row r="94" spans="1:27" x14ac:dyDescent="0.25">
      <c r="A94" s="2" t="s">
        <v>879</v>
      </c>
      <c r="B94" s="2">
        <v>114</v>
      </c>
      <c r="C94" s="2">
        <v>1709</v>
      </c>
      <c r="D94" s="2" t="s">
        <v>696</v>
      </c>
      <c r="E94" s="2" t="s">
        <v>93</v>
      </c>
      <c r="F94" s="2" t="s">
        <v>697</v>
      </c>
      <c r="G94" s="2"/>
      <c r="H94" s="2" t="s">
        <v>626</v>
      </c>
      <c r="I94" s="2"/>
      <c r="J94" s="2"/>
      <c r="K94" s="2" t="s">
        <v>300</v>
      </c>
      <c r="L94" s="2" t="s">
        <v>9</v>
      </c>
      <c r="M94" s="2" t="s">
        <v>15</v>
      </c>
      <c r="N94" s="2" t="s">
        <v>245</v>
      </c>
      <c r="O94" s="2" t="s">
        <v>10</v>
      </c>
      <c r="P94" s="2" t="s">
        <v>11</v>
      </c>
      <c r="Q94" s="2" t="s">
        <v>12</v>
      </c>
      <c r="R94" s="2" t="s">
        <v>128</v>
      </c>
      <c r="S94" s="2" t="s">
        <v>129</v>
      </c>
      <c r="T94" s="2" t="s">
        <v>13</v>
      </c>
      <c r="U94" s="2" t="s">
        <v>14</v>
      </c>
      <c r="V94" s="2" t="s">
        <v>130</v>
      </c>
      <c r="W94" s="2" t="s">
        <v>131</v>
      </c>
      <c r="X94" s="2" t="s">
        <v>325</v>
      </c>
      <c r="Y94" s="2" t="s">
        <v>717</v>
      </c>
      <c r="Z94" s="2" t="s">
        <v>17</v>
      </c>
      <c r="AA94" s="2"/>
    </row>
    <row r="95" spans="1:27" x14ac:dyDescent="0.25">
      <c r="A95" s="2" t="s">
        <v>736</v>
      </c>
      <c r="B95" s="2">
        <v>1658</v>
      </c>
      <c r="C95" s="2">
        <v>1709</v>
      </c>
      <c r="D95" s="2" t="s">
        <v>739</v>
      </c>
      <c r="E95" s="2" t="s">
        <v>93</v>
      </c>
      <c r="F95" s="2" t="s">
        <v>697</v>
      </c>
      <c r="G95" s="2"/>
      <c r="H95" s="2"/>
      <c r="I95" s="2"/>
      <c r="J95" s="2"/>
      <c r="K95" s="2" t="s">
        <v>300</v>
      </c>
      <c r="L95" s="2" t="s">
        <v>717</v>
      </c>
      <c r="M95" s="2" t="s">
        <v>17</v>
      </c>
      <c r="N95" s="2"/>
      <c r="O95" s="2"/>
      <c r="P95" s="2"/>
      <c r="Q95" s="2"/>
      <c r="R95" s="2"/>
      <c r="S95" s="2"/>
      <c r="T95" s="2"/>
      <c r="U95" s="2"/>
      <c r="V95" s="2"/>
      <c r="W95" s="2"/>
      <c r="X95" s="2"/>
      <c r="Y95" s="2"/>
      <c r="Z95" s="2"/>
      <c r="AA95" s="2"/>
    </row>
    <row r="96" spans="1:27" x14ac:dyDescent="0.25">
      <c r="A96" s="2" t="s">
        <v>741</v>
      </c>
      <c r="B96" s="13" t="s">
        <v>855</v>
      </c>
      <c r="C96" s="2">
        <v>1709</v>
      </c>
      <c r="D96" s="2" t="s">
        <v>854</v>
      </c>
      <c r="E96" s="2" t="s">
        <v>93</v>
      </c>
      <c r="F96" s="2" t="s">
        <v>697</v>
      </c>
      <c r="G96" s="2"/>
      <c r="H96" s="2"/>
      <c r="I96" s="2"/>
      <c r="J96" s="2"/>
      <c r="K96" s="2" t="s">
        <v>300</v>
      </c>
      <c r="L96" s="2" t="s">
        <v>717</v>
      </c>
      <c r="M96" s="2" t="s">
        <v>17</v>
      </c>
      <c r="N96" s="2"/>
      <c r="O96" s="2"/>
      <c r="P96" s="2"/>
      <c r="Q96" s="2"/>
      <c r="R96" s="2"/>
      <c r="S96" s="2"/>
      <c r="T96" s="2"/>
      <c r="U96" s="2"/>
      <c r="V96" s="2"/>
      <c r="W96" s="2"/>
      <c r="X96" s="2"/>
      <c r="Y96" s="2"/>
      <c r="Z96" s="2"/>
      <c r="AA96" s="2"/>
    </row>
    <row r="97" spans="1:27" x14ac:dyDescent="0.25">
      <c r="A97" s="2" t="s">
        <v>742</v>
      </c>
      <c r="B97" s="2">
        <v>1689</v>
      </c>
      <c r="C97" s="2">
        <v>1709</v>
      </c>
      <c r="D97" s="2" t="s">
        <v>754</v>
      </c>
      <c r="E97" s="2" t="s">
        <v>93</v>
      </c>
      <c r="F97" s="2" t="s">
        <v>697</v>
      </c>
      <c r="G97" s="2"/>
      <c r="H97" s="2"/>
      <c r="I97" s="2"/>
      <c r="J97" s="2"/>
      <c r="K97" s="2" t="s">
        <v>300</v>
      </c>
      <c r="L97" s="2" t="s">
        <v>717</v>
      </c>
      <c r="M97" s="2" t="s">
        <v>17</v>
      </c>
      <c r="N97" s="2"/>
      <c r="O97" s="2"/>
      <c r="P97" s="2"/>
      <c r="Q97" s="2"/>
      <c r="R97" s="2"/>
      <c r="S97" s="2"/>
      <c r="T97" s="2"/>
      <c r="U97" s="2"/>
      <c r="V97" s="2"/>
      <c r="W97" s="2"/>
      <c r="X97" s="2"/>
      <c r="Y97" s="2"/>
      <c r="Z97" s="2"/>
      <c r="AA97" s="2"/>
    </row>
    <row r="98" spans="1:27" x14ac:dyDescent="0.25">
      <c r="A98" s="2" t="s">
        <v>743</v>
      </c>
      <c r="B98" s="35" t="s">
        <v>776</v>
      </c>
      <c r="C98" s="2">
        <v>1709</v>
      </c>
      <c r="D98" s="2" t="s">
        <v>773</v>
      </c>
      <c r="E98" s="2" t="s">
        <v>93</v>
      </c>
      <c r="F98" s="2" t="s">
        <v>697</v>
      </c>
      <c r="G98" s="2"/>
      <c r="H98" s="2"/>
      <c r="I98" s="2"/>
      <c r="J98" s="2"/>
      <c r="K98" s="2" t="s">
        <v>300</v>
      </c>
      <c r="L98" s="2" t="s">
        <v>717</v>
      </c>
      <c r="M98" s="2" t="s">
        <v>17</v>
      </c>
      <c r="N98" s="2"/>
      <c r="O98" s="2"/>
      <c r="P98" s="2"/>
      <c r="Q98" s="2"/>
      <c r="R98" s="2"/>
      <c r="S98" s="2"/>
      <c r="T98" s="2"/>
      <c r="U98" s="2"/>
      <c r="V98" s="2"/>
      <c r="W98" s="2"/>
      <c r="X98" s="2"/>
      <c r="Y98" s="2"/>
      <c r="Z98" s="2"/>
      <c r="AA98" s="2"/>
    </row>
    <row r="99" spans="1:27" x14ac:dyDescent="0.25">
      <c r="A99" s="2" t="s">
        <v>744</v>
      </c>
      <c r="B99" s="35" t="s">
        <v>789</v>
      </c>
      <c r="C99" s="2">
        <v>1709</v>
      </c>
      <c r="D99" s="2" t="s">
        <v>852</v>
      </c>
      <c r="E99" s="2" t="s">
        <v>93</v>
      </c>
      <c r="F99" s="2" t="s">
        <v>697</v>
      </c>
      <c r="G99" s="2"/>
      <c r="H99" s="2"/>
      <c r="I99" s="2"/>
      <c r="J99" s="2"/>
      <c r="K99" s="2" t="s">
        <v>300</v>
      </c>
      <c r="L99" s="2" t="s">
        <v>717</v>
      </c>
      <c r="M99" s="2" t="s">
        <v>17</v>
      </c>
      <c r="N99" s="2"/>
      <c r="O99" s="2"/>
      <c r="P99" s="2"/>
      <c r="Q99" s="2"/>
      <c r="R99" s="2"/>
      <c r="S99" s="2"/>
      <c r="T99" s="2"/>
      <c r="U99" s="2"/>
      <c r="V99" s="2"/>
      <c r="W99" s="2"/>
      <c r="X99" s="2"/>
      <c r="Y99" s="2"/>
      <c r="Z99" s="2"/>
      <c r="AA99" s="2"/>
    </row>
    <row r="100" spans="1:27" x14ac:dyDescent="0.25">
      <c r="A100" s="2" t="s">
        <v>745</v>
      </c>
      <c r="B100" s="35" t="s">
        <v>1035</v>
      </c>
      <c r="C100" s="2">
        <v>1709</v>
      </c>
      <c r="D100" s="2" t="s">
        <v>876</v>
      </c>
      <c r="E100" s="2" t="s">
        <v>93</v>
      </c>
      <c r="F100" s="2" t="s">
        <v>697</v>
      </c>
      <c r="G100" s="2"/>
      <c r="H100" s="2"/>
      <c r="I100" s="2"/>
      <c r="J100" s="2"/>
      <c r="K100" s="2" t="s">
        <v>300</v>
      </c>
      <c r="L100" s="2" t="s">
        <v>717</v>
      </c>
      <c r="M100" s="2" t="s">
        <v>17</v>
      </c>
      <c r="N100" s="2"/>
      <c r="O100" s="2"/>
      <c r="P100" s="2"/>
      <c r="Q100" s="2"/>
      <c r="R100" s="2"/>
      <c r="S100" s="2"/>
      <c r="T100" s="2"/>
      <c r="U100" s="2"/>
      <c r="V100" s="2"/>
      <c r="W100" s="2"/>
      <c r="X100" s="2"/>
      <c r="Y100" s="2"/>
      <c r="Z100" s="2"/>
      <c r="AA100" s="2"/>
    </row>
    <row r="101" spans="1:27" x14ac:dyDescent="0.25">
      <c r="A101" s="2" t="s">
        <v>746</v>
      </c>
      <c r="B101" s="2">
        <v>1690</v>
      </c>
      <c r="C101" s="2">
        <v>1709</v>
      </c>
      <c r="D101" s="2" t="s">
        <v>756</v>
      </c>
      <c r="E101" s="2" t="s">
        <v>93</v>
      </c>
      <c r="F101" s="2" t="s">
        <v>697</v>
      </c>
      <c r="G101" s="2"/>
      <c r="H101" s="2"/>
      <c r="I101" s="2"/>
      <c r="J101" s="2"/>
      <c r="K101" s="2" t="s">
        <v>300</v>
      </c>
      <c r="L101" s="2" t="s">
        <v>717</v>
      </c>
      <c r="M101" s="2" t="s">
        <v>17</v>
      </c>
      <c r="N101" s="2"/>
      <c r="O101" s="2"/>
      <c r="P101" s="2"/>
      <c r="Q101" s="2"/>
      <c r="R101" s="2"/>
      <c r="S101" s="2"/>
      <c r="T101" s="2"/>
      <c r="U101" s="2"/>
      <c r="V101" s="2"/>
      <c r="W101" s="2"/>
      <c r="X101" s="2"/>
      <c r="Y101" s="2"/>
      <c r="Z101" s="2"/>
      <c r="AA101" s="2"/>
    </row>
    <row r="102" spans="1:27" x14ac:dyDescent="0.25">
      <c r="A102" s="2" t="s">
        <v>747</v>
      </c>
      <c r="B102" s="2">
        <v>1672</v>
      </c>
      <c r="C102" s="2">
        <v>1709</v>
      </c>
      <c r="D102" s="2" t="s">
        <v>867</v>
      </c>
      <c r="E102" s="2" t="s">
        <v>93</v>
      </c>
      <c r="F102" s="2" t="s">
        <v>697</v>
      </c>
      <c r="G102" s="2"/>
      <c r="H102" s="2"/>
      <c r="I102" s="2"/>
      <c r="J102" s="2"/>
      <c r="K102" s="2" t="s">
        <v>300</v>
      </c>
      <c r="L102" s="2" t="s">
        <v>717</v>
      </c>
      <c r="M102" s="2" t="s">
        <v>17</v>
      </c>
      <c r="N102" s="2"/>
      <c r="O102" s="2"/>
      <c r="P102" s="2"/>
      <c r="Q102" s="2"/>
      <c r="R102" s="2"/>
      <c r="S102" s="2"/>
      <c r="T102" s="2"/>
      <c r="U102" s="2"/>
      <c r="V102" s="2"/>
      <c r="W102" s="2"/>
      <c r="X102" s="2"/>
      <c r="Y102" s="2"/>
      <c r="Z102" s="2"/>
      <c r="AA102" s="2"/>
    </row>
    <row r="103" spans="1:27" x14ac:dyDescent="0.25">
      <c r="A103" s="2" t="s">
        <v>748</v>
      </c>
      <c r="B103" s="2">
        <v>1806</v>
      </c>
      <c r="C103" s="2">
        <v>1709</v>
      </c>
      <c r="D103" s="2" t="s">
        <v>874</v>
      </c>
      <c r="E103" s="2" t="s">
        <v>93</v>
      </c>
      <c r="F103" s="2" t="s">
        <v>697</v>
      </c>
      <c r="G103" s="2"/>
      <c r="H103" s="2"/>
      <c r="I103" s="2"/>
      <c r="J103" s="2"/>
      <c r="K103" s="2" t="s">
        <v>300</v>
      </c>
      <c r="L103" s="2" t="s">
        <v>717</v>
      </c>
      <c r="M103" s="2" t="s">
        <v>17</v>
      </c>
      <c r="N103" s="2"/>
      <c r="O103" s="2"/>
      <c r="P103" s="2"/>
      <c r="Q103" s="2"/>
      <c r="R103" s="2"/>
      <c r="S103" s="2"/>
      <c r="T103" s="2"/>
      <c r="U103" s="2"/>
      <c r="V103" s="2"/>
      <c r="W103" s="2"/>
      <c r="X103" s="2"/>
      <c r="Y103" s="2"/>
      <c r="Z103" s="2"/>
      <c r="AA103" s="2"/>
    </row>
    <row r="104" spans="1:27" x14ac:dyDescent="0.25">
      <c r="A104" s="2" t="s">
        <v>749</v>
      </c>
      <c r="B104" s="2">
        <v>1807</v>
      </c>
      <c r="C104" s="2">
        <v>1709</v>
      </c>
      <c r="D104" s="2" t="s">
        <v>875</v>
      </c>
      <c r="E104" s="2" t="s">
        <v>93</v>
      </c>
      <c r="F104" s="2" t="s">
        <v>697</v>
      </c>
      <c r="G104" s="2"/>
      <c r="H104" s="2"/>
      <c r="I104" s="2"/>
      <c r="J104" s="2"/>
      <c r="K104" s="2" t="s">
        <v>300</v>
      </c>
      <c r="L104" s="2" t="s">
        <v>717</v>
      </c>
      <c r="M104" s="2" t="s">
        <v>17</v>
      </c>
      <c r="N104" s="2"/>
      <c r="O104" s="2"/>
      <c r="P104" s="2"/>
      <c r="Q104" s="2"/>
      <c r="R104" s="2"/>
      <c r="S104" s="2"/>
      <c r="T104" s="2"/>
      <c r="U104" s="2"/>
      <c r="V104" s="2"/>
      <c r="W104" s="2"/>
      <c r="X104" s="2"/>
      <c r="Y104" s="2"/>
      <c r="Z104" s="2"/>
      <c r="AA104" s="2"/>
    </row>
    <row r="105" spans="1:27" x14ac:dyDescent="0.25">
      <c r="A105" s="2" t="s">
        <v>750</v>
      </c>
      <c r="B105" s="2">
        <v>1</v>
      </c>
      <c r="C105" s="2">
        <v>1709</v>
      </c>
      <c r="D105" s="2" t="s">
        <v>910</v>
      </c>
      <c r="E105" s="2" t="s">
        <v>93</v>
      </c>
      <c r="F105" s="2" t="s">
        <v>897</v>
      </c>
      <c r="G105" s="2"/>
      <c r="H105" s="2"/>
      <c r="I105" s="2"/>
      <c r="J105" s="2"/>
      <c r="K105" s="2" t="s">
        <v>300</v>
      </c>
      <c r="L105" s="2" t="s">
        <v>9</v>
      </c>
      <c r="M105" s="2" t="s">
        <v>15</v>
      </c>
      <c r="N105" s="2" t="s">
        <v>245</v>
      </c>
      <c r="O105" s="2" t="s">
        <v>10</v>
      </c>
      <c r="P105" s="2" t="s">
        <v>911</v>
      </c>
      <c r="Q105" s="2" t="s">
        <v>36</v>
      </c>
      <c r="R105" s="2" t="s">
        <v>912</v>
      </c>
      <c r="S105" s="2" t="s">
        <v>913</v>
      </c>
      <c r="T105" s="2" t="s">
        <v>914</v>
      </c>
      <c r="U105" s="2" t="s">
        <v>915</v>
      </c>
      <c r="V105" s="2" t="s">
        <v>17</v>
      </c>
      <c r="W105" s="2"/>
      <c r="X105" s="2"/>
      <c r="Y105" s="2"/>
      <c r="Z105" s="2"/>
      <c r="AA105" s="2"/>
    </row>
    <row r="106" spans="1:27" x14ac:dyDescent="0.25">
      <c r="A106" s="2" t="s">
        <v>751</v>
      </c>
      <c r="B106" s="2">
        <v>115</v>
      </c>
      <c r="C106" s="2">
        <v>1709</v>
      </c>
      <c r="D106" s="2" t="s">
        <v>1084</v>
      </c>
      <c r="E106" s="2" t="s">
        <v>93</v>
      </c>
      <c r="F106" s="2" t="s">
        <v>648</v>
      </c>
      <c r="G106" s="2"/>
      <c r="H106" s="2"/>
      <c r="I106" s="2"/>
      <c r="J106" s="2"/>
      <c r="K106" s="2" t="s">
        <v>300</v>
      </c>
      <c r="L106" s="2" t="s">
        <v>9</v>
      </c>
      <c r="M106" s="2" t="s">
        <v>15</v>
      </c>
      <c r="N106" s="2" t="s">
        <v>245</v>
      </c>
      <c r="O106" s="2" t="s">
        <v>10</v>
      </c>
      <c r="P106" s="2" t="s">
        <v>644</v>
      </c>
      <c r="Q106" s="2" t="s">
        <v>645</v>
      </c>
      <c r="R106" s="2" t="s">
        <v>646</v>
      </c>
      <c r="S106" s="2" t="s">
        <v>647</v>
      </c>
      <c r="T106" s="2" t="s">
        <v>17</v>
      </c>
      <c r="U106" s="2"/>
      <c r="V106" s="2"/>
      <c r="W106" s="2"/>
      <c r="X106" s="2"/>
      <c r="Y106" s="2"/>
      <c r="Z106" s="2"/>
      <c r="AA106" s="2"/>
    </row>
    <row r="107" spans="1:27" x14ac:dyDescent="0.25">
      <c r="A107" s="2" t="s">
        <v>752</v>
      </c>
      <c r="B107" s="2">
        <v>1</v>
      </c>
      <c r="C107" s="2">
        <v>1709</v>
      </c>
      <c r="D107" s="2" t="s">
        <v>919</v>
      </c>
      <c r="E107" s="2" t="s">
        <v>93</v>
      </c>
      <c r="F107" s="2" t="s">
        <v>1194</v>
      </c>
      <c r="G107" s="2"/>
      <c r="H107" s="2"/>
      <c r="I107" s="2"/>
      <c r="J107" s="2"/>
      <c r="K107" s="2" t="s">
        <v>300</v>
      </c>
      <c r="L107" s="2" t="s">
        <v>9</v>
      </c>
      <c r="M107" s="2" t="s">
        <v>15</v>
      </c>
      <c r="N107" s="2" t="s">
        <v>245</v>
      </c>
      <c r="O107" s="2" t="s">
        <v>10</v>
      </c>
      <c r="P107" s="2" t="s">
        <v>644</v>
      </c>
      <c r="Q107" s="2" t="s">
        <v>645</v>
      </c>
      <c r="R107" s="2" t="s">
        <v>646</v>
      </c>
      <c r="S107" s="2" t="s">
        <v>647</v>
      </c>
      <c r="T107" s="2" t="s">
        <v>911</v>
      </c>
      <c r="U107" s="2" t="s">
        <v>36</v>
      </c>
      <c r="V107" s="2" t="s">
        <v>912</v>
      </c>
      <c r="W107" s="2" t="s">
        <v>913</v>
      </c>
      <c r="X107" s="2" t="s">
        <v>934</v>
      </c>
      <c r="Y107" s="2" t="s">
        <v>914</v>
      </c>
      <c r="Z107" s="2" t="s">
        <v>915</v>
      </c>
      <c r="AA107" s="2" t="s">
        <v>17</v>
      </c>
    </row>
    <row r="108" spans="1:27" x14ac:dyDescent="0.25">
      <c r="A108" s="2" t="s">
        <v>917</v>
      </c>
      <c r="B108" s="2">
        <v>2534</v>
      </c>
      <c r="C108" s="2">
        <v>1709</v>
      </c>
      <c r="D108" s="2" t="s">
        <v>1071</v>
      </c>
      <c r="E108" s="2" t="s">
        <v>93</v>
      </c>
      <c r="F108" s="2" t="s">
        <v>1040</v>
      </c>
      <c r="G108" s="2"/>
      <c r="H108" s="2"/>
      <c r="I108" s="2"/>
      <c r="J108" s="2"/>
      <c r="K108" s="2" t="s">
        <v>300</v>
      </c>
      <c r="L108" s="2" t="s">
        <v>9</v>
      </c>
      <c r="M108" s="2" t="s">
        <v>15</v>
      </c>
      <c r="N108" s="2" t="s">
        <v>245</v>
      </c>
      <c r="O108" s="2" t="s">
        <v>10</v>
      </c>
      <c r="P108" s="2" t="s">
        <v>644</v>
      </c>
      <c r="Q108" s="2" t="s">
        <v>911</v>
      </c>
      <c r="R108" s="2" t="s">
        <v>1046</v>
      </c>
      <c r="S108" s="2" t="s">
        <v>17</v>
      </c>
      <c r="T108" s="2"/>
      <c r="U108" s="2"/>
      <c r="V108" s="2"/>
      <c r="W108" s="2"/>
      <c r="X108" s="2"/>
      <c r="Y108" s="2"/>
      <c r="Z108" s="2"/>
      <c r="AA108" s="2"/>
    </row>
    <row r="109" spans="1:27" x14ac:dyDescent="0.25">
      <c r="A109" s="2" t="s">
        <v>918</v>
      </c>
      <c r="B109" s="13" t="s">
        <v>1147</v>
      </c>
      <c r="C109" s="2">
        <v>1709</v>
      </c>
      <c r="D109" s="2" t="s">
        <v>1148</v>
      </c>
      <c r="E109" s="2" t="s">
        <v>93</v>
      </c>
      <c r="F109" s="2" t="s">
        <v>1040</v>
      </c>
      <c r="G109" s="2"/>
      <c r="H109" s="2"/>
      <c r="I109" s="2"/>
      <c r="J109" s="2"/>
      <c r="K109" s="2" t="s">
        <v>300</v>
      </c>
      <c r="L109" s="2" t="s">
        <v>9</v>
      </c>
      <c r="M109" s="2" t="s">
        <v>15</v>
      </c>
      <c r="N109" s="2" t="s">
        <v>245</v>
      </c>
      <c r="O109" s="2" t="s">
        <v>10</v>
      </c>
      <c r="P109" s="2" t="s">
        <v>644</v>
      </c>
      <c r="Q109" s="2" t="s">
        <v>911</v>
      </c>
      <c r="R109" s="2" t="s">
        <v>1046</v>
      </c>
      <c r="S109" s="2" t="s">
        <v>17</v>
      </c>
      <c r="T109" s="2"/>
      <c r="U109" s="2"/>
      <c r="V109" s="2"/>
      <c r="W109" s="2"/>
      <c r="X109" s="2"/>
      <c r="Y109" s="2"/>
      <c r="Z109" s="2"/>
      <c r="AA109" s="2"/>
    </row>
    <row r="110" spans="1:27" x14ac:dyDescent="0.25">
      <c r="A110" s="2" t="s">
        <v>1096</v>
      </c>
      <c r="B110" s="13" t="s">
        <v>1145</v>
      </c>
      <c r="C110" s="2">
        <v>1709</v>
      </c>
      <c r="D110" s="2" t="s">
        <v>1146</v>
      </c>
      <c r="E110" s="2" t="s">
        <v>93</v>
      </c>
      <c r="F110" s="2" t="s">
        <v>1040</v>
      </c>
      <c r="G110" s="2"/>
      <c r="H110" s="2"/>
      <c r="I110" s="2"/>
      <c r="J110" s="2"/>
      <c r="K110" s="2" t="s">
        <v>300</v>
      </c>
      <c r="L110" s="2" t="s">
        <v>36</v>
      </c>
      <c r="M110" s="2" t="s">
        <v>1046</v>
      </c>
      <c r="N110" s="2" t="s">
        <v>17</v>
      </c>
      <c r="O110" s="2"/>
      <c r="P110" s="2"/>
      <c r="Q110" s="2"/>
      <c r="R110" s="2"/>
      <c r="S110" s="2"/>
      <c r="T110" s="2"/>
      <c r="U110" s="2"/>
      <c r="V110" s="2"/>
      <c r="W110" s="2"/>
      <c r="X110" s="2"/>
      <c r="Y110" s="2"/>
      <c r="Z110" s="2"/>
      <c r="AA110" s="2"/>
    </row>
    <row r="111" spans="1:27" x14ac:dyDescent="0.25">
      <c r="A111" s="2" t="s">
        <v>1102</v>
      </c>
      <c r="B111" s="13" t="s">
        <v>1097</v>
      </c>
      <c r="C111" s="2">
        <v>1709</v>
      </c>
      <c r="D111" s="2" t="s">
        <v>1140</v>
      </c>
      <c r="E111" s="2" t="s">
        <v>93</v>
      </c>
      <c r="F111" s="2" t="s">
        <v>1040</v>
      </c>
      <c r="G111" s="2"/>
      <c r="H111" s="2"/>
      <c r="I111" s="2"/>
      <c r="J111" s="2"/>
      <c r="K111" s="2" t="s">
        <v>300</v>
      </c>
      <c r="L111" s="2" t="s">
        <v>36</v>
      </c>
      <c r="M111" s="2" t="s">
        <v>1046</v>
      </c>
      <c r="N111" s="2" t="s">
        <v>17</v>
      </c>
      <c r="O111" s="2"/>
      <c r="P111" s="2"/>
      <c r="Q111" s="2"/>
      <c r="R111" s="2"/>
      <c r="S111" s="2"/>
      <c r="T111" s="2"/>
      <c r="U111" s="2"/>
      <c r="V111" s="2"/>
      <c r="W111" s="2"/>
      <c r="X111" s="2"/>
      <c r="Y111" s="2"/>
      <c r="Z111" s="2"/>
      <c r="AA111" s="2"/>
    </row>
    <row r="112" spans="1:27" x14ac:dyDescent="0.25">
      <c r="A112" s="2" t="s">
        <v>1103</v>
      </c>
      <c r="B112" s="13" t="s">
        <v>1138</v>
      </c>
      <c r="C112" s="2">
        <v>1709</v>
      </c>
      <c r="D112" s="2" t="s">
        <v>1139</v>
      </c>
      <c r="E112" s="2" t="s">
        <v>93</v>
      </c>
      <c r="F112" s="2" t="s">
        <v>1040</v>
      </c>
      <c r="G112" s="2"/>
      <c r="H112" s="2"/>
      <c r="I112" s="2"/>
      <c r="J112" s="2"/>
      <c r="K112" s="2" t="s">
        <v>300</v>
      </c>
      <c r="L112" s="2" t="s">
        <v>36</v>
      </c>
      <c r="M112" s="2" t="s">
        <v>1046</v>
      </c>
      <c r="N112" s="2" t="s">
        <v>17</v>
      </c>
      <c r="O112" s="2"/>
      <c r="P112" s="2"/>
      <c r="Q112" s="2"/>
      <c r="R112" s="2"/>
      <c r="S112" s="2"/>
      <c r="T112" s="2"/>
      <c r="U112" s="2"/>
      <c r="V112" s="2"/>
      <c r="W112" s="2"/>
      <c r="X112" s="2"/>
      <c r="Y112" s="2"/>
      <c r="Z112" s="2"/>
      <c r="AA112" s="2"/>
    </row>
    <row r="113" spans="1:27" x14ac:dyDescent="0.25">
      <c r="A113" s="2" t="s">
        <v>1104</v>
      </c>
      <c r="B113" s="2">
        <v>116</v>
      </c>
      <c r="C113" s="2">
        <v>1709</v>
      </c>
      <c r="D113" s="2" t="s">
        <v>19</v>
      </c>
      <c r="E113" s="2" t="s">
        <v>93</v>
      </c>
      <c r="F113" s="2" t="s">
        <v>1193</v>
      </c>
      <c r="G113" s="2"/>
      <c r="H113" s="2"/>
      <c r="I113" s="2"/>
      <c r="J113" s="2"/>
      <c r="K113" s="2" t="s">
        <v>300</v>
      </c>
      <c r="L113" s="2" t="s">
        <v>9</v>
      </c>
      <c r="M113" s="2" t="s">
        <v>15</v>
      </c>
      <c r="N113" s="2" t="s">
        <v>245</v>
      </c>
      <c r="O113" s="2" t="s">
        <v>10</v>
      </c>
      <c r="P113" s="2" t="s">
        <v>11</v>
      </c>
      <c r="Q113" s="2" t="s">
        <v>12</v>
      </c>
      <c r="R113" s="2" t="s">
        <v>128</v>
      </c>
      <c r="S113" s="2" t="s">
        <v>129</v>
      </c>
      <c r="T113" s="2" t="s">
        <v>13</v>
      </c>
      <c r="U113" s="2" t="s">
        <v>14</v>
      </c>
      <c r="V113" s="2" t="s">
        <v>130</v>
      </c>
      <c r="W113" s="2" t="s">
        <v>131</v>
      </c>
      <c r="X113" s="2" t="s">
        <v>911</v>
      </c>
      <c r="Y113" s="2" t="s">
        <v>17</v>
      </c>
      <c r="Z113" s="2"/>
      <c r="AA113" s="2"/>
    </row>
    <row r="114" spans="1:27" x14ac:dyDescent="0.25">
      <c r="A114" s="2" t="s">
        <v>1105</v>
      </c>
      <c r="B114" s="2">
        <v>115</v>
      </c>
      <c r="C114" s="2">
        <v>1709</v>
      </c>
      <c r="D114" s="2" t="s">
        <v>1084</v>
      </c>
      <c r="E114" s="2" t="s">
        <v>93</v>
      </c>
      <c r="F114" s="2" t="s">
        <v>1193</v>
      </c>
      <c r="G114" s="2"/>
      <c r="H114" s="2"/>
      <c r="I114" s="2"/>
      <c r="J114" s="2"/>
      <c r="K114" s="2" t="s">
        <v>300</v>
      </c>
      <c r="L114" s="2" t="s">
        <v>36</v>
      </c>
      <c r="M114" s="2" t="s">
        <v>10</v>
      </c>
      <c r="N114" s="2" t="s">
        <v>644</v>
      </c>
      <c r="O114" s="2" t="s">
        <v>645</v>
      </c>
      <c r="P114" s="2" t="s">
        <v>17</v>
      </c>
      <c r="Q114" s="2"/>
      <c r="R114" s="2"/>
      <c r="S114" s="2"/>
      <c r="T114" s="2"/>
      <c r="U114" s="2"/>
      <c r="V114" s="2"/>
      <c r="W114" s="2"/>
      <c r="X114" s="2"/>
      <c r="Y114" s="2"/>
      <c r="Z114" s="2"/>
      <c r="AA114" s="2"/>
    </row>
    <row r="115" spans="1:27" x14ac:dyDescent="0.25">
      <c r="A115" s="2" t="s">
        <v>1106</v>
      </c>
      <c r="B115" s="2">
        <v>1</v>
      </c>
      <c r="C115" s="2">
        <v>1</v>
      </c>
      <c r="D115" s="2" t="s">
        <v>1195</v>
      </c>
      <c r="E115" s="2" t="s">
        <v>93</v>
      </c>
      <c r="F115" s="2" t="s">
        <v>1193</v>
      </c>
      <c r="G115" s="2"/>
      <c r="H115" s="2"/>
      <c r="I115" s="2"/>
      <c r="J115" s="2"/>
      <c r="K115" s="2" t="s">
        <v>300</v>
      </c>
      <c r="L115" s="2" t="s">
        <v>36</v>
      </c>
      <c r="M115" s="2" t="s">
        <v>912</v>
      </c>
      <c r="N115" s="2" t="s">
        <v>913</v>
      </c>
      <c r="O115" s="2" t="s">
        <v>934</v>
      </c>
      <c r="P115" s="2" t="s">
        <v>914</v>
      </c>
      <c r="Q115" s="2" t="s">
        <v>915</v>
      </c>
      <c r="R115" s="2" t="s">
        <v>17</v>
      </c>
      <c r="S115" s="2"/>
      <c r="T115" s="2"/>
      <c r="U115" s="2"/>
      <c r="V115" s="2"/>
      <c r="W115" s="2"/>
      <c r="X115" s="2"/>
      <c r="Y115" s="2"/>
      <c r="Z115" s="2"/>
      <c r="AA115" s="2"/>
    </row>
  </sheetData>
  <dataValidations count="1">
    <dataValidation type="list" allowBlank="1" showInputMessage="1" showErrorMessage="1" sqref="E2:E115">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34"/>
  <sheetViews>
    <sheetView zoomScale="85" zoomScaleNormal="85" workbookViewId="0">
      <selection activeCell="B2" sqref="B2:E2"/>
    </sheetView>
  </sheetViews>
  <sheetFormatPr defaultRowHeight="15" x14ac:dyDescent="0.25"/>
  <cols>
    <col min="1" max="1" width="7.140625" style="1" bestFit="1" customWidth="1" collapsed="1"/>
    <col min="2" max="2" width="8.7109375" style="1" bestFit="1" customWidth="1" collapsed="1"/>
    <col min="3" max="3" width="13.5703125" style="1" bestFit="1" customWidth="1" collapsed="1"/>
    <col min="4" max="4" width="12.7109375" style="1" bestFit="1" customWidth="1" collapsed="1"/>
    <col min="5" max="16384" width="9.140625" style="1" collapsed="1"/>
  </cols>
  <sheetData>
    <row r="1" spans="1:7" x14ac:dyDescent="0.25">
      <c r="A1" s="4" t="s">
        <v>0</v>
      </c>
      <c r="B1" s="5" t="s">
        <v>20</v>
      </c>
      <c r="C1" s="5" t="s">
        <v>21</v>
      </c>
      <c r="D1" s="5" t="s">
        <v>268</v>
      </c>
      <c r="E1" s="5" t="s">
        <v>22</v>
      </c>
      <c r="F1" s="3"/>
      <c r="G1" s="3"/>
    </row>
    <row r="2" spans="1:7" x14ac:dyDescent="0.25">
      <c r="A2" s="2" t="s">
        <v>1</v>
      </c>
      <c r="B2" s="6">
        <v>1</v>
      </c>
      <c r="C2" s="2" t="s">
        <v>1203</v>
      </c>
      <c r="D2" s="2" t="s">
        <v>1204</v>
      </c>
      <c r="E2" s="2" t="s">
        <v>3</v>
      </c>
    </row>
    <row r="3" spans="1:7" x14ac:dyDescent="0.25">
      <c r="A3" s="2" t="s">
        <v>2</v>
      </c>
      <c r="B3" s="6">
        <v>1</v>
      </c>
      <c r="C3" s="2" t="s">
        <v>1202</v>
      </c>
      <c r="D3" s="2" t="s">
        <v>23</v>
      </c>
      <c r="E3" s="2" t="s">
        <v>3</v>
      </c>
    </row>
    <row r="4" spans="1:7" x14ac:dyDescent="0.25">
      <c r="A4" s="2" t="s">
        <v>16</v>
      </c>
      <c r="B4" s="6">
        <v>1</v>
      </c>
      <c r="C4" s="2" t="s">
        <v>1202</v>
      </c>
      <c r="D4" s="2" t="s">
        <v>23</v>
      </c>
      <c r="E4" s="2" t="s">
        <v>3</v>
      </c>
    </row>
    <row r="5" spans="1:7" x14ac:dyDescent="0.25">
      <c r="A5" s="2" t="s">
        <v>691</v>
      </c>
      <c r="B5" s="6">
        <v>1</v>
      </c>
      <c r="C5" s="2" t="s">
        <v>1202</v>
      </c>
      <c r="D5" s="2" t="s">
        <v>23</v>
      </c>
      <c r="E5" s="2" t="s">
        <v>3</v>
      </c>
    </row>
    <row r="6" spans="1:7" x14ac:dyDescent="0.25">
      <c r="A6" s="2" t="s">
        <v>333</v>
      </c>
      <c r="B6" s="2">
        <v>1</v>
      </c>
      <c r="C6" s="2" t="s">
        <v>1202</v>
      </c>
      <c r="D6" s="2" t="s">
        <v>23</v>
      </c>
      <c r="E6" s="2" t="s">
        <v>3</v>
      </c>
    </row>
    <row r="7" spans="1:7" x14ac:dyDescent="0.25">
      <c r="A7" s="2" t="s">
        <v>335</v>
      </c>
      <c r="B7" s="2">
        <v>1</v>
      </c>
      <c r="C7" s="2" t="s">
        <v>1202</v>
      </c>
      <c r="D7" s="2" t="s">
        <v>23</v>
      </c>
      <c r="E7" s="2" t="s">
        <v>3</v>
      </c>
    </row>
    <row r="8" spans="1:7" x14ac:dyDescent="0.25">
      <c r="A8" s="2" t="s">
        <v>127</v>
      </c>
      <c r="B8" s="2">
        <v>1</v>
      </c>
      <c r="C8" s="2" t="s">
        <v>1202</v>
      </c>
      <c r="D8" s="2" t="s">
        <v>23</v>
      </c>
      <c r="E8" s="2" t="s">
        <v>3</v>
      </c>
    </row>
    <row r="9" spans="1:7" x14ac:dyDescent="0.25">
      <c r="A9" s="2" t="s">
        <v>146</v>
      </c>
      <c r="B9" s="2">
        <v>1</v>
      </c>
      <c r="C9" s="2" t="s">
        <v>160</v>
      </c>
      <c r="D9" s="2" t="s">
        <v>23</v>
      </c>
      <c r="E9" s="2"/>
    </row>
    <row r="10" spans="1:7" x14ac:dyDescent="0.25">
      <c r="A10" s="2" t="s">
        <v>136</v>
      </c>
      <c r="B10" s="2">
        <v>1</v>
      </c>
      <c r="C10" s="2"/>
      <c r="D10" s="2"/>
      <c r="E10" s="2"/>
    </row>
    <row r="11" spans="1:7" x14ac:dyDescent="0.25">
      <c r="A11" s="2" t="s">
        <v>151</v>
      </c>
      <c r="B11" s="2">
        <v>1</v>
      </c>
      <c r="C11" s="2"/>
      <c r="D11" s="2"/>
      <c r="E11" s="2"/>
    </row>
    <row r="12" spans="1:7" x14ac:dyDescent="0.25">
      <c r="A12" s="2" t="s">
        <v>154</v>
      </c>
      <c r="B12" s="2">
        <v>1</v>
      </c>
      <c r="C12" s="2"/>
      <c r="D12" s="2"/>
      <c r="E12" s="2"/>
    </row>
    <row r="13" spans="1:7" x14ac:dyDescent="0.25">
      <c r="A13" s="2" t="s">
        <v>155</v>
      </c>
      <c r="B13" s="2">
        <v>1</v>
      </c>
      <c r="C13" s="2"/>
      <c r="D13" s="2"/>
      <c r="E13" s="2"/>
    </row>
    <row r="14" spans="1:7" x14ac:dyDescent="0.25">
      <c r="A14" s="2" t="s">
        <v>178</v>
      </c>
      <c r="B14" s="2">
        <v>1</v>
      </c>
      <c r="C14" s="2"/>
      <c r="D14" s="2"/>
      <c r="E14" s="2"/>
    </row>
    <row r="15" spans="1:7" x14ac:dyDescent="0.25">
      <c r="A15" s="2" t="s">
        <v>337</v>
      </c>
      <c r="B15" s="2">
        <v>1</v>
      </c>
      <c r="C15" s="2"/>
      <c r="D15" s="2"/>
      <c r="E15" s="2"/>
    </row>
    <row r="16" spans="1:7" x14ac:dyDescent="0.25">
      <c r="A16" s="2" t="s">
        <v>338</v>
      </c>
      <c r="B16" s="2">
        <v>1</v>
      </c>
      <c r="C16" s="2"/>
      <c r="D16" s="2"/>
      <c r="E16" s="2"/>
    </row>
    <row r="17" spans="1:5" x14ac:dyDescent="0.25">
      <c r="A17" s="2" t="s">
        <v>194</v>
      </c>
      <c r="B17" s="2">
        <v>1</v>
      </c>
      <c r="C17" s="2"/>
      <c r="D17" s="2"/>
      <c r="E17" s="2"/>
    </row>
    <row r="18" spans="1:5" x14ac:dyDescent="0.25">
      <c r="A18" s="2" t="s">
        <v>346</v>
      </c>
      <c r="B18" s="2">
        <v>1</v>
      </c>
      <c r="C18" s="2"/>
      <c r="D18" s="2"/>
      <c r="E18" s="2"/>
    </row>
    <row r="19" spans="1:5" x14ac:dyDescent="0.25">
      <c r="A19" s="2" t="s">
        <v>347</v>
      </c>
      <c r="B19" s="2">
        <v>1</v>
      </c>
      <c r="C19" s="2"/>
      <c r="D19" s="2"/>
      <c r="E19" s="2"/>
    </row>
    <row r="20" spans="1:5" x14ac:dyDescent="0.25">
      <c r="A20" s="2" t="s">
        <v>383</v>
      </c>
      <c r="B20" s="2">
        <v>1</v>
      </c>
      <c r="C20" s="2"/>
      <c r="D20" s="2"/>
      <c r="E20" s="2"/>
    </row>
    <row r="21" spans="1:5" x14ac:dyDescent="0.25">
      <c r="A21" s="2" t="s">
        <v>204</v>
      </c>
      <c r="B21" s="2">
        <v>1</v>
      </c>
      <c r="C21" s="2"/>
      <c r="D21" s="2"/>
      <c r="E21" s="2"/>
    </row>
    <row r="22" spans="1:5" x14ac:dyDescent="0.25">
      <c r="A22" s="2" t="s">
        <v>353</v>
      </c>
      <c r="B22" s="2">
        <v>1</v>
      </c>
      <c r="C22" s="2"/>
      <c r="D22" s="2"/>
      <c r="E22" s="2"/>
    </row>
    <row r="23" spans="1:5" x14ac:dyDescent="0.25">
      <c r="A23" s="2" t="s">
        <v>211</v>
      </c>
      <c r="B23" s="2">
        <v>1</v>
      </c>
      <c r="C23" s="2"/>
      <c r="D23" s="2"/>
      <c r="E23" s="2"/>
    </row>
    <row r="24" spans="1:5" x14ac:dyDescent="0.25">
      <c r="A24" s="2" t="s">
        <v>213</v>
      </c>
      <c r="B24" s="2">
        <v>1</v>
      </c>
      <c r="C24" s="2" t="s">
        <v>160</v>
      </c>
      <c r="D24" s="2" t="s">
        <v>23</v>
      </c>
      <c r="E24" s="2"/>
    </row>
    <row r="25" spans="1:5" x14ac:dyDescent="0.25">
      <c r="A25" s="2" t="s">
        <v>216</v>
      </c>
      <c r="B25" s="2">
        <v>1</v>
      </c>
      <c r="C25" s="2"/>
      <c r="D25" s="2"/>
      <c r="E25" s="2"/>
    </row>
    <row r="26" spans="1:5" x14ac:dyDescent="0.25">
      <c r="A26" s="2" t="s">
        <v>219</v>
      </c>
      <c r="B26" s="2">
        <v>1</v>
      </c>
      <c r="C26" s="2"/>
      <c r="D26" s="2"/>
      <c r="E26" s="2"/>
    </row>
    <row r="27" spans="1:5" x14ac:dyDescent="0.25">
      <c r="A27" s="2" t="s">
        <v>222</v>
      </c>
      <c r="B27" s="2">
        <v>1</v>
      </c>
      <c r="C27" s="2"/>
      <c r="D27" s="2"/>
      <c r="E27" s="2"/>
    </row>
    <row r="28" spans="1:5" x14ac:dyDescent="0.25">
      <c r="A28" s="2" t="s">
        <v>226</v>
      </c>
      <c r="B28" s="2">
        <v>1</v>
      </c>
      <c r="C28" s="2"/>
      <c r="D28" s="2"/>
      <c r="E28" s="2"/>
    </row>
    <row r="29" spans="1:5" x14ac:dyDescent="0.25">
      <c r="A29" s="2" t="s">
        <v>339</v>
      </c>
      <c r="B29" s="2">
        <v>1</v>
      </c>
      <c r="C29" s="2"/>
      <c r="D29" s="2"/>
      <c r="E29" s="2"/>
    </row>
    <row r="30" spans="1:5" x14ac:dyDescent="0.25">
      <c r="A30" s="2" t="s">
        <v>340</v>
      </c>
      <c r="B30" s="2">
        <v>1</v>
      </c>
      <c r="C30" s="2"/>
      <c r="D30" s="2"/>
      <c r="E30" s="2"/>
    </row>
    <row r="31" spans="1:5" x14ac:dyDescent="0.25">
      <c r="A31" s="2" t="s">
        <v>1189</v>
      </c>
      <c r="B31" s="2">
        <v>1</v>
      </c>
      <c r="C31" s="2"/>
      <c r="D31" s="2"/>
      <c r="E31" s="2"/>
    </row>
    <row r="32" spans="1:5" x14ac:dyDescent="0.25">
      <c r="A32" s="2" t="s">
        <v>240</v>
      </c>
      <c r="B32" s="2">
        <v>1</v>
      </c>
      <c r="C32" s="2"/>
      <c r="D32" s="2"/>
      <c r="E32" s="2"/>
    </row>
    <row r="33" spans="1:5" x14ac:dyDescent="0.25">
      <c r="A33" s="2" t="s">
        <v>395</v>
      </c>
      <c r="B33" s="2">
        <v>1</v>
      </c>
      <c r="C33" s="2"/>
      <c r="D33" s="2"/>
      <c r="E33" s="2"/>
    </row>
    <row r="34" spans="1:5" x14ac:dyDescent="0.25">
      <c r="A34" s="2" t="s">
        <v>630</v>
      </c>
      <c r="B34" s="2">
        <v>1</v>
      </c>
      <c r="C34" s="2"/>
      <c r="D34" s="2"/>
      <c r="E34" s="2"/>
    </row>
    <row r="35" spans="1:5" x14ac:dyDescent="0.25">
      <c r="A35" s="2" t="s">
        <v>247</v>
      </c>
      <c r="B35" s="2">
        <v>1</v>
      </c>
      <c r="C35" s="2"/>
      <c r="D35" s="2"/>
      <c r="E35" s="2"/>
    </row>
    <row r="36" spans="1:5" x14ac:dyDescent="0.25">
      <c r="A36" s="2" t="s">
        <v>270</v>
      </c>
      <c r="B36" s="2">
        <v>1</v>
      </c>
      <c r="C36" s="2"/>
      <c r="D36" s="2"/>
      <c r="E36" s="2"/>
    </row>
    <row r="37" spans="1:5" x14ac:dyDescent="0.25">
      <c r="A37" s="2" t="s">
        <v>284</v>
      </c>
      <c r="B37" s="2">
        <v>1</v>
      </c>
      <c r="C37" s="2"/>
      <c r="D37" s="2"/>
      <c r="E37" s="2"/>
    </row>
    <row r="38" spans="1:5" x14ac:dyDescent="0.25">
      <c r="A38" s="2" t="s">
        <v>292</v>
      </c>
      <c r="B38" s="2">
        <v>1</v>
      </c>
      <c r="C38" s="2"/>
      <c r="D38" s="2"/>
      <c r="E38" s="2"/>
    </row>
    <row r="39" spans="1:5" x14ac:dyDescent="0.25">
      <c r="A39" s="2" t="s">
        <v>294</v>
      </c>
      <c r="B39" s="2">
        <v>1</v>
      </c>
      <c r="C39" s="2"/>
      <c r="D39" s="2"/>
      <c r="E39" s="2"/>
    </row>
    <row r="40" spans="1:5" x14ac:dyDescent="0.25">
      <c r="A40" s="2" t="s">
        <v>305</v>
      </c>
      <c r="B40" s="2">
        <v>1</v>
      </c>
      <c r="C40" s="2"/>
      <c r="D40" s="2"/>
      <c r="E40" s="2"/>
    </row>
    <row r="41" spans="1:5" x14ac:dyDescent="0.25">
      <c r="A41" s="2" t="s">
        <v>396</v>
      </c>
      <c r="B41" s="2">
        <v>1</v>
      </c>
      <c r="C41" s="2"/>
      <c r="D41" s="2"/>
      <c r="E41" s="2"/>
    </row>
    <row r="42" spans="1:5" x14ac:dyDescent="0.25">
      <c r="A42" s="2" t="s">
        <v>311</v>
      </c>
      <c r="B42" s="2">
        <v>1</v>
      </c>
      <c r="C42" s="2"/>
      <c r="D42" s="2"/>
      <c r="E42" s="2"/>
    </row>
    <row r="43" spans="1:5" x14ac:dyDescent="0.25">
      <c r="A43" s="2" t="s">
        <v>603</v>
      </c>
      <c r="B43" s="2">
        <v>1</v>
      </c>
      <c r="C43" s="2"/>
      <c r="D43" s="2"/>
      <c r="E43" s="2"/>
    </row>
    <row r="44" spans="1:5" x14ac:dyDescent="0.25">
      <c r="A44" s="2" t="s">
        <v>610</v>
      </c>
      <c r="B44" s="2">
        <v>1</v>
      </c>
      <c r="C44" s="2"/>
      <c r="D44" s="2"/>
      <c r="E44" s="2"/>
    </row>
    <row r="45" spans="1:5" x14ac:dyDescent="0.25">
      <c r="A45" s="2" t="s">
        <v>321</v>
      </c>
      <c r="B45" s="2">
        <v>1</v>
      </c>
      <c r="C45" s="2"/>
      <c r="D45" s="2"/>
      <c r="E45" s="2"/>
    </row>
    <row r="46" spans="1:5" x14ac:dyDescent="0.25">
      <c r="A46" s="2" t="s">
        <v>355</v>
      </c>
      <c r="B46" s="2">
        <v>1</v>
      </c>
      <c r="C46" s="2"/>
      <c r="D46" s="2"/>
      <c r="E46" s="2"/>
    </row>
    <row r="47" spans="1:5" x14ac:dyDescent="0.25">
      <c r="A47" s="2" t="s">
        <v>365</v>
      </c>
      <c r="B47" s="2">
        <v>1</v>
      </c>
      <c r="C47" s="2"/>
      <c r="D47" s="2"/>
      <c r="E47" s="2"/>
    </row>
    <row r="48" spans="1:5" x14ac:dyDescent="0.25">
      <c r="A48" s="2" t="s">
        <v>371</v>
      </c>
      <c r="B48" s="2">
        <v>1</v>
      </c>
      <c r="C48" s="2"/>
      <c r="D48" s="2"/>
      <c r="E48" s="2"/>
    </row>
    <row r="49" spans="1:5" x14ac:dyDescent="0.25">
      <c r="A49" s="2" t="s">
        <v>374</v>
      </c>
      <c r="B49" s="2">
        <v>1</v>
      </c>
      <c r="C49" s="2"/>
      <c r="D49" s="2"/>
      <c r="E49" s="2"/>
    </row>
    <row r="50" spans="1:5" x14ac:dyDescent="0.25">
      <c r="A50" s="2" t="s">
        <v>376</v>
      </c>
      <c r="B50" s="2">
        <v>1</v>
      </c>
      <c r="C50" s="2"/>
      <c r="D50" s="2"/>
      <c r="E50" s="2"/>
    </row>
    <row r="51" spans="1:5" x14ac:dyDescent="0.25">
      <c r="A51" s="2" t="s">
        <v>412</v>
      </c>
      <c r="B51" s="2">
        <v>1</v>
      </c>
      <c r="C51" s="2"/>
      <c r="D51" s="2"/>
      <c r="E51" s="2"/>
    </row>
    <row r="52" spans="1:5" x14ac:dyDescent="0.25">
      <c r="A52" s="2" t="s">
        <v>413</v>
      </c>
      <c r="B52" s="2">
        <v>1</v>
      </c>
      <c r="C52" s="2"/>
      <c r="D52" s="2"/>
      <c r="E52" s="2"/>
    </row>
    <row r="53" spans="1:5" x14ac:dyDescent="0.25">
      <c r="A53" s="2" t="s">
        <v>414</v>
      </c>
      <c r="B53" s="2">
        <v>1</v>
      </c>
      <c r="C53" s="2"/>
      <c r="D53" s="2"/>
      <c r="E53" s="2"/>
    </row>
    <row r="54" spans="1:5" x14ac:dyDescent="0.25">
      <c r="A54" s="2" t="s">
        <v>415</v>
      </c>
      <c r="B54" s="2">
        <v>1</v>
      </c>
      <c r="C54" s="2"/>
      <c r="D54" s="2"/>
      <c r="E54" s="2"/>
    </row>
    <row r="55" spans="1:5" x14ac:dyDescent="0.25">
      <c r="A55" s="2" t="s">
        <v>416</v>
      </c>
      <c r="B55" s="2">
        <v>1</v>
      </c>
      <c r="C55" s="2"/>
      <c r="D55" s="2"/>
      <c r="E55" s="2"/>
    </row>
    <row r="56" spans="1:5" x14ac:dyDescent="0.25">
      <c r="A56" s="2" t="s">
        <v>417</v>
      </c>
      <c r="B56" s="2">
        <v>1</v>
      </c>
      <c r="C56" s="2"/>
      <c r="D56" s="2"/>
      <c r="E56" s="2"/>
    </row>
    <row r="57" spans="1:5" x14ac:dyDescent="0.25">
      <c r="A57" s="2" t="s">
        <v>418</v>
      </c>
      <c r="B57" s="2">
        <v>1</v>
      </c>
      <c r="C57" s="2"/>
      <c r="D57" s="2"/>
      <c r="E57" s="2"/>
    </row>
    <row r="58" spans="1:5" x14ac:dyDescent="0.25">
      <c r="A58" s="2" t="s">
        <v>419</v>
      </c>
      <c r="B58" s="2">
        <v>1</v>
      </c>
      <c r="C58" s="2"/>
      <c r="D58" s="2"/>
      <c r="E58" s="2"/>
    </row>
    <row r="59" spans="1:5" x14ac:dyDescent="0.25">
      <c r="A59" s="2" t="s">
        <v>420</v>
      </c>
      <c r="B59" s="2">
        <v>1</v>
      </c>
      <c r="C59" s="2"/>
      <c r="D59" s="2"/>
      <c r="E59" s="2"/>
    </row>
    <row r="60" spans="1:5" x14ac:dyDescent="0.25">
      <c r="A60" s="2" t="s">
        <v>489</v>
      </c>
      <c r="B60" s="2">
        <v>1</v>
      </c>
      <c r="C60" s="2"/>
      <c r="D60" s="2"/>
      <c r="E60" s="2"/>
    </row>
    <row r="61" spans="1:5" x14ac:dyDescent="0.25">
      <c r="A61" s="2" t="s">
        <v>490</v>
      </c>
      <c r="B61" s="2">
        <v>1</v>
      </c>
      <c r="C61" s="2"/>
      <c r="D61" s="2"/>
      <c r="E61" s="2"/>
    </row>
    <row r="62" spans="1:5" x14ac:dyDescent="0.25">
      <c r="A62" s="2" t="s">
        <v>491</v>
      </c>
      <c r="B62" s="2">
        <v>1</v>
      </c>
      <c r="C62" s="2"/>
      <c r="D62" s="2"/>
      <c r="E62" s="2"/>
    </row>
    <row r="63" spans="1:5" x14ac:dyDescent="0.25">
      <c r="A63" s="2" t="s">
        <v>1019</v>
      </c>
      <c r="B63" s="2">
        <v>1</v>
      </c>
      <c r="C63" s="2"/>
      <c r="D63" s="2"/>
      <c r="E63" s="2"/>
    </row>
    <row r="64" spans="1:5" x14ac:dyDescent="0.25">
      <c r="A64" s="2" t="s">
        <v>492</v>
      </c>
      <c r="B64" s="2">
        <v>1</v>
      </c>
      <c r="C64" s="2"/>
      <c r="D64" s="2"/>
      <c r="E64" s="2"/>
    </row>
    <row r="65" spans="1:5" x14ac:dyDescent="0.25">
      <c r="A65" s="2" t="s">
        <v>1011</v>
      </c>
      <c r="B65" s="2">
        <v>1</v>
      </c>
      <c r="C65" s="2"/>
      <c r="D65" s="2"/>
      <c r="E65" s="2"/>
    </row>
    <row r="66" spans="1:5" x14ac:dyDescent="0.25">
      <c r="A66" s="2" t="s">
        <v>1018</v>
      </c>
      <c r="B66" s="2">
        <v>1</v>
      </c>
      <c r="C66" s="2"/>
      <c r="D66" s="2"/>
      <c r="E66" s="2"/>
    </row>
    <row r="67" spans="1:5" x14ac:dyDescent="0.25">
      <c r="A67" s="2" t="s">
        <v>1023</v>
      </c>
      <c r="B67" s="2">
        <v>1</v>
      </c>
      <c r="C67" s="2"/>
      <c r="D67" s="2"/>
      <c r="E67" s="2"/>
    </row>
    <row r="68" spans="1:5" x14ac:dyDescent="0.25">
      <c r="A68" s="2" t="s">
        <v>508</v>
      </c>
      <c r="B68" s="2">
        <v>1</v>
      </c>
      <c r="C68" s="2"/>
      <c r="D68" s="2"/>
      <c r="E68" s="2"/>
    </row>
    <row r="69" spans="1:5" x14ac:dyDescent="0.25">
      <c r="A69" s="2" t="s">
        <v>525</v>
      </c>
      <c r="B69" s="2">
        <v>1</v>
      </c>
      <c r="C69" s="2"/>
      <c r="D69" s="2"/>
      <c r="E69" s="2"/>
    </row>
    <row r="70" spans="1:5" x14ac:dyDescent="0.25">
      <c r="A70" s="2" t="s">
        <v>528</v>
      </c>
      <c r="B70" s="2">
        <v>1</v>
      </c>
      <c r="C70" s="2"/>
      <c r="D70" s="2"/>
      <c r="E70" s="2"/>
    </row>
    <row r="71" spans="1:5" x14ac:dyDescent="0.25">
      <c r="A71" s="2" t="s">
        <v>529</v>
      </c>
      <c r="B71" s="2">
        <v>1</v>
      </c>
      <c r="C71" s="2"/>
      <c r="D71" s="2"/>
      <c r="E71" s="2"/>
    </row>
    <row r="72" spans="1:5" x14ac:dyDescent="0.25">
      <c r="A72" s="2" t="s">
        <v>530</v>
      </c>
      <c r="B72" s="2">
        <v>1</v>
      </c>
      <c r="C72" s="2"/>
      <c r="D72" s="2"/>
      <c r="E72" s="2"/>
    </row>
    <row r="73" spans="1:5" x14ac:dyDescent="0.25">
      <c r="A73" s="2" t="s">
        <v>531</v>
      </c>
      <c r="B73" s="2">
        <v>1</v>
      </c>
      <c r="C73" s="2"/>
      <c r="D73" s="2"/>
      <c r="E73" s="2"/>
    </row>
    <row r="74" spans="1:5" x14ac:dyDescent="0.25">
      <c r="A74" s="2" t="s">
        <v>532</v>
      </c>
      <c r="B74" s="2">
        <v>1</v>
      </c>
      <c r="C74" s="2"/>
      <c r="D74" s="2"/>
      <c r="E74" s="2"/>
    </row>
    <row r="75" spans="1:5" x14ac:dyDescent="0.25">
      <c r="A75" s="2" t="s">
        <v>533</v>
      </c>
      <c r="B75" s="2">
        <v>1</v>
      </c>
      <c r="C75" s="2"/>
      <c r="D75" s="2"/>
      <c r="E75" s="2"/>
    </row>
    <row r="76" spans="1:5" x14ac:dyDescent="0.25">
      <c r="A76" s="2" t="s">
        <v>534</v>
      </c>
      <c r="B76" s="2">
        <v>1</v>
      </c>
      <c r="C76" s="2"/>
      <c r="D76" s="2"/>
      <c r="E76" s="2"/>
    </row>
    <row r="77" spans="1:5" x14ac:dyDescent="0.25">
      <c r="A77" s="2" t="s">
        <v>535</v>
      </c>
      <c r="B77" s="2">
        <v>1</v>
      </c>
      <c r="C77" s="2"/>
      <c r="D77" s="2"/>
      <c r="E77" s="2"/>
    </row>
    <row r="78" spans="1:5" x14ac:dyDescent="0.25">
      <c r="A78" s="2" t="s">
        <v>536</v>
      </c>
      <c r="B78" s="2">
        <v>1</v>
      </c>
      <c r="C78" s="2"/>
      <c r="D78" s="2"/>
      <c r="E78" s="2"/>
    </row>
    <row r="79" spans="1:5" x14ac:dyDescent="0.25">
      <c r="A79" s="2" t="s">
        <v>574</v>
      </c>
      <c r="B79" s="2">
        <v>1</v>
      </c>
      <c r="C79" s="2"/>
      <c r="D79" s="2"/>
      <c r="E79" s="2"/>
    </row>
    <row r="80" spans="1:5" x14ac:dyDescent="0.25">
      <c r="A80" s="2" t="s">
        <v>575</v>
      </c>
      <c r="B80" s="2">
        <v>1</v>
      </c>
      <c r="C80" s="2"/>
      <c r="D80" s="2"/>
      <c r="E80" s="2"/>
    </row>
    <row r="81" spans="1:5" x14ac:dyDescent="0.25">
      <c r="A81" s="2" t="s">
        <v>576</v>
      </c>
      <c r="B81" s="2">
        <v>1</v>
      </c>
      <c r="C81" s="2"/>
      <c r="D81" s="2"/>
      <c r="E81" s="2"/>
    </row>
    <row r="82" spans="1:5" x14ac:dyDescent="0.25">
      <c r="A82" s="2" t="s">
        <v>577</v>
      </c>
      <c r="B82" s="2">
        <v>1</v>
      </c>
      <c r="C82" s="2"/>
      <c r="D82" s="2"/>
      <c r="E82" s="2"/>
    </row>
    <row r="83" spans="1:5" x14ac:dyDescent="0.25">
      <c r="A83" s="2" t="s">
        <v>578</v>
      </c>
      <c r="B83" s="2">
        <v>1</v>
      </c>
      <c r="C83" s="2"/>
      <c r="D83" s="2"/>
      <c r="E83" s="2"/>
    </row>
    <row r="84" spans="1:5" x14ac:dyDescent="0.25">
      <c r="A84" s="2" t="s">
        <v>579</v>
      </c>
      <c r="B84" s="2">
        <v>1</v>
      </c>
      <c r="C84" s="2"/>
      <c r="D84" s="2"/>
      <c r="E84" s="2"/>
    </row>
    <row r="85" spans="1:5" x14ac:dyDescent="0.25">
      <c r="A85" s="2" t="s">
        <v>580</v>
      </c>
      <c r="B85" s="2">
        <v>1</v>
      </c>
      <c r="C85" s="2"/>
      <c r="D85" s="2"/>
      <c r="E85" s="2"/>
    </row>
    <row r="86" spans="1:5" x14ac:dyDescent="0.25">
      <c r="A86" s="2" t="s">
        <v>581</v>
      </c>
      <c r="B86" s="2">
        <v>1</v>
      </c>
      <c r="C86" s="2"/>
      <c r="D86" s="2"/>
      <c r="E86" s="2"/>
    </row>
    <row r="87" spans="1:5" x14ac:dyDescent="0.25">
      <c r="A87" s="2" t="s">
        <v>728</v>
      </c>
      <c r="B87" s="2">
        <v>1</v>
      </c>
      <c r="C87" s="2"/>
      <c r="D87" s="2"/>
      <c r="E87" s="2"/>
    </row>
    <row r="88" spans="1:5" x14ac:dyDescent="0.25">
      <c r="A88" s="2" t="s">
        <v>729</v>
      </c>
      <c r="B88" s="2">
        <v>1</v>
      </c>
      <c r="C88" s="2"/>
      <c r="D88" s="2"/>
      <c r="E88" s="2"/>
    </row>
    <row r="89" spans="1:5" x14ac:dyDescent="0.25">
      <c r="A89" s="2" t="s">
        <v>730</v>
      </c>
      <c r="B89" s="2">
        <v>1</v>
      </c>
      <c r="C89" s="2"/>
      <c r="D89" s="2"/>
      <c r="E89" s="2"/>
    </row>
    <row r="90" spans="1:5" x14ac:dyDescent="0.25">
      <c r="A90" s="2" t="s">
        <v>731</v>
      </c>
      <c r="B90" s="2">
        <v>1</v>
      </c>
      <c r="C90" s="2"/>
      <c r="D90" s="2"/>
      <c r="E90" s="2"/>
    </row>
    <row r="91" spans="1:5" x14ac:dyDescent="0.25">
      <c r="A91" s="2" t="s">
        <v>732</v>
      </c>
      <c r="B91" s="2">
        <v>1</v>
      </c>
      <c r="C91" s="2"/>
      <c r="D91" s="2"/>
      <c r="E91" s="2"/>
    </row>
    <row r="92" spans="1:5" x14ac:dyDescent="0.25">
      <c r="A92" s="2" t="s">
        <v>733</v>
      </c>
      <c r="B92" s="2">
        <v>1</v>
      </c>
      <c r="C92" s="2"/>
      <c r="D92" s="2"/>
      <c r="E92" s="2"/>
    </row>
    <row r="93" spans="1:5" x14ac:dyDescent="0.25">
      <c r="A93" s="2" t="s">
        <v>734</v>
      </c>
      <c r="B93" s="2">
        <v>1</v>
      </c>
      <c r="C93" s="2"/>
      <c r="D93" s="2"/>
      <c r="E93" s="2"/>
    </row>
    <row r="94" spans="1:5" x14ac:dyDescent="0.25">
      <c r="A94" s="2" t="s">
        <v>735</v>
      </c>
      <c r="B94" s="2">
        <v>1</v>
      </c>
      <c r="C94" s="2"/>
      <c r="D94" s="2"/>
      <c r="E94" s="2"/>
    </row>
    <row r="95" spans="1:5" x14ac:dyDescent="0.25">
      <c r="A95" s="2" t="s">
        <v>849</v>
      </c>
      <c r="B95" s="2">
        <v>1</v>
      </c>
      <c r="C95" s="2"/>
      <c r="D95" s="2"/>
      <c r="E95" s="2"/>
    </row>
    <row r="96" spans="1:5" x14ac:dyDescent="0.25">
      <c r="A96" s="2" t="s">
        <v>864</v>
      </c>
      <c r="B96" s="2">
        <v>1</v>
      </c>
      <c r="C96" s="2"/>
      <c r="D96" s="2"/>
      <c r="E96" s="2"/>
    </row>
    <row r="97" spans="1:5" x14ac:dyDescent="0.25">
      <c r="A97" s="2" t="s">
        <v>868</v>
      </c>
      <c r="B97" s="2">
        <v>1</v>
      </c>
      <c r="C97" s="2"/>
      <c r="D97" s="2"/>
      <c r="E97" s="2"/>
    </row>
    <row r="98" spans="1:5" x14ac:dyDescent="0.25">
      <c r="A98" s="2" t="s">
        <v>869</v>
      </c>
      <c r="B98" s="2">
        <v>1</v>
      </c>
      <c r="C98" s="2"/>
      <c r="D98" s="2"/>
      <c r="E98" s="2"/>
    </row>
    <row r="99" spans="1:5" x14ac:dyDescent="0.25">
      <c r="A99" s="2" t="s">
        <v>879</v>
      </c>
      <c r="B99" s="2">
        <v>1</v>
      </c>
      <c r="C99" s="2"/>
      <c r="D99" s="2"/>
      <c r="E99" s="2"/>
    </row>
    <row r="100" spans="1:5" x14ac:dyDescent="0.25">
      <c r="A100" s="2" t="s">
        <v>736</v>
      </c>
      <c r="B100" s="2">
        <v>1</v>
      </c>
      <c r="C100" s="2"/>
      <c r="D100" s="2"/>
      <c r="E100" s="2"/>
    </row>
    <row r="101" spans="1:5" x14ac:dyDescent="0.25">
      <c r="A101" s="2" t="s">
        <v>741</v>
      </c>
      <c r="B101" s="2">
        <v>1</v>
      </c>
      <c r="C101" s="2"/>
      <c r="D101" s="2"/>
      <c r="E101" s="2"/>
    </row>
    <row r="102" spans="1:5" x14ac:dyDescent="0.25">
      <c r="A102" s="2" t="s">
        <v>742</v>
      </c>
      <c r="B102" s="2">
        <v>1</v>
      </c>
      <c r="C102" s="2"/>
      <c r="D102" s="2"/>
      <c r="E102" s="2"/>
    </row>
    <row r="103" spans="1:5" x14ac:dyDescent="0.25">
      <c r="A103" s="2" t="s">
        <v>743</v>
      </c>
      <c r="B103" s="2">
        <v>1</v>
      </c>
      <c r="C103" s="2"/>
      <c r="D103" s="2"/>
      <c r="E103" s="2"/>
    </row>
    <row r="104" spans="1:5" x14ac:dyDescent="0.25">
      <c r="A104" s="2" t="s">
        <v>744</v>
      </c>
      <c r="B104" s="2">
        <v>1</v>
      </c>
      <c r="C104" s="2"/>
      <c r="D104" s="2"/>
      <c r="E104" s="2"/>
    </row>
    <row r="105" spans="1:5" x14ac:dyDescent="0.25">
      <c r="A105" s="2" t="s">
        <v>745</v>
      </c>
      <c r="B105" s="2">
        <v>1</v>
      </c>
      <c r="C105" s="2"/>
      <c r="D105" s="2"/>
      <c r="E105" s="2"/>
    </row>
    <row r="106" spans="1:5" x14ac:dyDescent="0.25">
      <c r="A106" s="2" t="s">
        <v>746</v>
      </c>
      <c r="B106" s="2">
        <v>1</v>
      </c>
      <c r="C106" s="2"/>
      <c r="D106" s="2"/>
      <c r="E106" s="2"/>
    </row>
    <row r="107" spans="1:5" x14ac:dyDescent="0.25">
      <c r="A107" s="2" t="s">
        <v>747</v>
      </c>
      <c r="B107" s="2">
        <v>1</v>
      </c>
      <c r="C107" s="2"/>
      <c r="D107" s="2"/>
      <c r="E107" s="2"/>
    </row>
    <row r="108" spans="1:5" x14ac:dyDescent="0.25">
      <c r="A108" s="2" t="s">
        <v>748</v>
      </c>
      <c r="B108" s="2">
        <v>1</v>
      </c>
      <c r="C108" s="2"/>
      <c r="D108" s="2"/>
      <c r="E108" s="2"/>
    </row>
    <row r="109" spans="1:5" x14ac:dyDescent="0.25">
      <c r="A109" s="2" t="s">
        <v>749</v>
      </c>
      <c r="B109" s="2">
        <v>1</v>
      </c>
      <c r="C109" s="2"/>
      <c r="D109" s="2"/>
      <c r="E109" s="2"/>
    </row>
    <row r="110" spans="1:5" x14ac:dyDescent="0.25">
      <c r="A110" s="2" t="s">
        <v>750</v>
      </c>
      <c r="B110" s="2">
        <v>1</v>
      </c>
      <c r="C110" s="2"/>
      <c r="D110" s="2"/>
      <c r="E110" s="2"/>
    </row>
    <row r="111" spans="1:5" x14ac:dyDescent="0.25">
      <c r="A111" s="2" t="s">
        <v>751</v>
      </c>
      <c r="B111" s="2">
        <v>1</v>
      </c>
      <c r="C111" s="2"/>
      <c r="D111" s="2"/>
      <c r="E111" s="2"/>
    </row>
    <row r="112" spans="1:5" x14ac:dyDescent="0.25">
      <c r="A112" s="2" t="s">
        <v>752</v>
      </c>
      <c r="B112" s="2">
        <v>1</v>
      </c>
      <c r="C112" s="2"/>
      <c r="D112" s="2"/>
      <c r="E112" s="2"/>
    </row>
    <row r="113" spans="1:5" x14ac:dyDescent="0.25">
      <c r="A113" s="2" t="s">
        <v>917</v>
      </c>
      <c r="B113" s="2">
        <v>1</v>
      </c>
      <c r="C113" s="2"/>
      <c r="D113" s="2"/>
      <c r="E113" s="2"/>
    </row>
    <row r="114" spans="1:5" x14ac:dyDescent="0.25">
      <c r="A114" s="2" t="s">
        <v>918</v>
      </c>
      <c r="B114" s="2">
        <v>1</v>
      </c>
      <c r="C114" s="2"/>
      <c r="D114" s="2"/>
      <c r="E114" s="2"/>
    </row>
    <row r="115" spans="1:5" x14ac:dyDescent="0.25">
      <c r="A115" s="2" t="s">
        <v>1096</v>
      </c>
      <c r="B115" s="2">
        <v>1</v>
      </c>
      <c r="C115" s="2"/>
      <c r="D115" s="2"/>
      <c r="E115" s="2"/>
    </row>
    <row r="116" spans="1:5" x14ac:dyDescent="0.25">
      <c r="A116" s="2" t="s">
        <v>1102</v>
      </c>
      <c r="B116" s="2">
        <v>1</v>
      </c>
      <c r="C116" s="2"/>
      <c r="D116" s="2"/>
      <c r="E116" s="2"/>
    </row>
    <row r="117" spans="1:5" x14ac:dyDescent="0.25">
      <c r="A117" s="2" t="s">
        <v>1103</v>
      </c>
      <c r="B117" s="2">
        <v>1</v>
      </c>
      <c r="C117" s="2"/>
      <c r="D117" s="2"/>
      <c r="E117" s="2"/>
    </row>
    <row r="118" spans="1:5" x14ac:dyDescent="0.25">
      <c r="A118" s="2" t="s">
        <v>1104</v>
      </c>
      <c r="B118" s="2">
        <v>1</v>
      </c>
      <c r="C118" s="2"/>
      <c r="D118" s="2"/>
      <c r="E118" s="2"/>
    </row>
    <row r="119" spans="1:5" x14ac:dyDescent="0.25">
      <c r="A119" s="2" t="s">
        <v>1105</v>
      </c>
      <c r="B119" s="2">
        <v>1</v>
      </c>
      <c r="C119" s="2"/>
      <c r="D119" s="2"/>
      <c r="E119" s="2"/>
    </row>
    <row r="120" spans="1:5" x14ac:dyDescent="0.25">
      <c r="A120" s="2" t="s">
        <v>1106</v>
      </c>
      <c r="B120" s="2">
        <v>1</v>
      </c>
      <c r="C120" s="2"/>
      <c r="D120" s="2"/>
      <c r="E120" s="2"/>
    </row>
    <row r="121" spans="1:5" x14ac:dyDescent="0.25">
      <c r="A121" s="2" t="s">
        <v>1107</v>
      </c>
      <c r="B121" s="2">
        <v>1</v>
      </c>
      <c r="C121" s="2"/>
      <c r="D121" s="2"/>
      <c r="E121" s="2"/>
    </row>
    <row r="122" spans="1:5" x14ac:dyDescent="0.25">
      <c r="A122" s="2" t="s">
        <v>1108</v>
      </c>
      <c r="B122" s="2">
        <v>1</v>
      </c>
      <c r="C122" s="2"/>
      <c r="D122" s="2"/>
      <c r="E122" s="2"/>
    </row>
    <row r="123" spans="1:5" x14ac:dyDescent="0.25">
      <c r="A123" s="2" t="s">
        <v>1109</v>
      </c>
      <c r="B123" s="2">
        <v>1</v>
      </c>
      <c r="C123" s="2"/>
      <c r="D123" s="2"/>
      <c r="E123" s="2"/>
    </row>
    <row r="124" spans="1:5" x14ac:dyDescent="0.25">
      <c r="A124" s="2" t="s">
        <v>1110</v>
      </c>
      <c r="B124" s="2">
        <v>1</v>
      </c>
      <c r="C124" s="2"/>
      <c r="D124" s="2"/>
      <c r="E124" s="2"/>
    </row>
    <row r="125" spans="1:5" x14ac:dyDescent="0.25">
      <c r="A125" s="2" t="s">
        <v>1111</v>
      </c>
      <c r="B125" s="2">
        <v>1</v>
      </c>
      <c r="C125" s="2"/>
      <c r="D125" s="2"/>
      <c r="E125" s="2"/>
    </row>
    <row r="126" spans="1:5" x14ac:dyDescent="0.25">
      <c r="A126" s="2" t="s">
        <v>1112</v>
      </c>
      <c r="B126" s="2">
        <v>1</v>
      </c>
      <c r="C126" s="2"/>
      <c r="D126" s="2"/>
      <c r="E126" s="2"/>
    </row>
    <row r="127" spans="1:5" x14ac:dyDescent="0.25">
      <c r="A127" s="2" t="s">
        <v>1113</v>
      </c>
      <c r="B127" s="2">
        <v>1</v>
      </c>
      <c r="C127" s="2"/>
      <c r="D127" s="2"/>
      <c r="E127" s="2"/>
    </row>
    <row r="128" spans="1:5" x14ac:dyDescent="0.25">
      <c r="A128" s="2" t="s">
        <v>1114</v>
      </c>
      <c r="B128" s="2">
        <v>1</v>
      </c>
      <c r="C128" s="2"/>
      <c r="D128" s="2"/>
      <c r="E128" s="2"/>
    </row>
    <row r="129" spans="1:5" x14ac:dyDescent="0.25">
      <c r="A129" s="2" t="s">
        <v>1115</v>
      </c>
      <c r="B129" s="2">
        <v>1</v>
      </c>
      <c r="C129" s="2"/>
      <c r="D129" s="2"/>
      <c r="E129" s="2"/>
    </row>
    <row r="130" spans="1:5" x14ac:dyDescent="0.25">
      <c r="A130" s="2" t="s">
        <v>1116</v>
      </c>
      <c r="B130" s="2">
        <v>1</v>
      </c>
      <c r="C130" s="2"/>
      <c r="D130" s="2"/>
      <c r="E130" s="2"/>
    </row>
    <row r="131" spans="1:5" x14ac:dyDescent="0.25">
      <c r="A131" s="2" t="s">
        <v>1117</v>
      </c>
      <c r="B131" s="2">
        <v>1</v>
      </c>
      <c r="C131" s="2"/>
      <c r="D131" s="2"/>
      <c r="E131" s="2"/>
    </row>
    <row r="132" spans="1:5" x14ac:dyDescent="0.25">
      <c r="A132" s="2" t="s">
        <v>1118</v>
      </c>
      <c r="B132" s="2">
        <v>1</v>
      </c>
      <c r="C132" s="2"/>
      <c r="D132" s="2"/>
      <c r="E132" s="2"/>
    </row>
    <row r="133" spans="1:5" x14ac:dyDescent="0.25">
      <c r="A133" s="2" t="s">
        <v>1119</v>
      </c>
      <c r="B133" s="2">
        <v>1</v>
      </c>
      <c r="C133" s="2"/>
      <c r="D133" s="2"/>
      <c r="E133" s="2"/>
    </row>
    <row r="134" spans="1:5" x14ac:dyDescent="0.25">
      <c r="A134" s="2" t="s">
        <v>1120</v>
      </c>
      <c r="B134" s="2">
        <v>1</v>
      </c>
      <c r="C134" s="2"/>
      <c r="D134" s="2"/>
      <c r="E134" s="2"/>
    </row>
  </sheetData>
  <hyperlinks>
    <hyperlink ref="D9" r:id="rId1" display="namakkal@1"/>
    <hyperlink ref="D24" r:id="rId2" display="namakkal@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43"/>
  <sheetViews>
    <sheetView topLeftCell="A17" zoomScale="85" zoomScaleNormal="85" workbookViewId="0">
      <selection activeCell="D22" sqref="D22"/>
    </sheetView>
  </sheetViews>
  <sheetFormatPr defaultRowHeight="15" x14ac:dyDescent="0.25"/>
  <cols>
    <col min="1" max="1" width="7.140625" style="1" bestFit="1" customWidth="1" collapsed="1"/>
    <col min="2" max="2" width="8.7109375" style="1" bestFit="1" customWidth="1" collapsed="1"/>
    <col min="3" max="3" width="14.85546875" style="1" bestFit="1" customWidth="1" collapsed="1"/>
    <col min="4" max="4" width="10.28515625" style="1" bestFit="1" customWidth="1" collapsed="1"/>
    <col min="5" max="16384" width="9.140625" style="1" collapsed="1"/>
  </cols>
  <sheetData>
    <row r="1" spans="1:6" x14ac:dyDescent="0.25">
      <c r="A1" s="4" t="s">
        <v>0</v>
      </c>
      <c r="B1" s="5" t="s">
        <v>20</v>
      </c>
      <c r="C1" s="5" t="s">
        <v>30</v>
      </c>
      <c r="D1" s="5" t="s">
        <v>31</v>
      </c>
      <c r="E1" s="3"/>
      <c r="F1" s="3"/>
    </row>
    <row r="2" spans="1:6" x14ac:dyDescent="0.25">
      <c r="A2" s="2" t="s">
        <v>1</v>
      </c>
      <c r="B2" s="6">
        <v>1</v>
      </c>
      <c r="C2" s="2" t="s">
        <v>3</v>
      </c>
      <c r="D2" s="2" t="s">
        <v>3</v>
      </c>
    </row>
    <row r="3" spans="1:6" x14ac:dyDescent="0.25">
      <c r="A3" s="2" t="s">
        <v>2</v>
      </c>
      <c r="B3" s="6">
        <v>1</v>
      </c>
      <c r="C3" s="2" t="s">
        <v>3</v>
      </c>
      <c r="D3" s="2" t="s">
        <v>3</v>
      </c>
    </row>
    <row r="4" spans="1:6" x14ac:dyDescent="0.25">
      <c r="A4" s="2" t="s">
        <v>16</v>
      </c>
      <c r="B4" s="6">
        <v>1</v>
      </c>
      <c r="C4" s="2" t="s">
        <v>3</v>
      </c>
      <c r="D4" s="2" t="s">
        <v>3</v>
      </c>
    </row>
    <row r="5" spans="1:6" x14ac:dyDescent="0.25">
      <c r="A5" s="2" t="s">
        <v>691</v>
      </c>
      <c r="B5" s="6">
        <v>1</v>
      </c>
      <c r="C5" s="2" t="s">
        <v>3</v>
      </c>
      <c r="D5" s="2" t="s">
        <v>3</v>
      </c>
    </row>
    <row r="6" spans="1:6" x14ac:dyDescent="0.25">
      <c r="A6" s="2" t="s">
        <v>333</v>
      </c>
      <c r="B6" s="6">
        <v>1</v>
      </c>
      <c r="C6" s="2" t="s">
        <v>3</v>
      </c>
      <c r="D6" s="2" t="s">
        <v>3</v>
      </c>
    </row>
    <row r="7" spans="1:6" x14ac:dyDescent="0.25">
      <c r="A7" s="2" t="s">
        <v>335</v>
      </c>
      <c r="B7" s="6">
        <v>1</v>
      </c>
      <c r="C7" s="2" t="s">
        <v>3</v>
      </c>
      <c r="D7" s="2" t="s">
        <v>3</v>
      </c>
    </row>
    <row r="8" spans="1:6" x14ac:dyDescent="0.25">
      <c r="A8" s="2" t="s">
        <v>127</v>
      </c>
      <c r="B8" s="6">
        <v>1</v>
      </c>
      <c r="C8" s="2" t="s">
        <v>3</v>
      </c>
      <c r="D8" s="2" t="s">
        <v>3</v>
      </c>
    </row>
    <row r="9" spans="1:6" x14ac:dyDescent="0.25">
      <c r="A9" s="2" t="s">
        <v>146</v>
      </c>
      <c r="B9" s="6">
        <v>1</v>
      </c>
      <c r="C9" s="2" t="s">
        <v>3</v>
      </c>
      <c r="D9" s="2" t="s">
        <v>3</v>
      </c>
    </row>
    <row r="10" spans="1:6" x14ac:dyDescent="0.25">
      <c r="A10" s="2" t="s">
        <v>136</v>
      </c>
      <c r="B10" s="6">
        <v>1</v>
      </c>
      <c r="C10" s="2" t="s">
        <v>3</v>
      </c>
      <c r="D10" s="2" t="s">
        <v>3</v>
      </c>
    </row>
    <row r="11" spans="1:6" x14ac:dyDescent="0.25">
      <c r="A11" s="20" t="s">
        <v>151</v>
      </c>
      <c r="B11" s="6">
        <v>1</v>
      </c>
      <c r="C11" s="2" t="s">
        <v>3</v>
      </c>
      <c r="D11" s="2" t="s">
        <v>3</v>
      </c>
    </row>
    <row r="12" spans="1:6" x14ac:dyDescent="0.25">
      <c r="A12" s="20" t="s">
        <v>154</v>
      </c>
      <c r="B12" s="6">
        <v>1</v>
      </c>
      <c r="C12" s="2" t="s">
        <v>3</v>
      </c>
      <c r="D12" s="2" t="s">
        <v>3</v>
      </c>
    </row>
    <row r="13" spans="1:6" x14ac:dyDescent="0.25">
      <c r="A13" s="2" t="s">
        <v>155</v>
      </c>
      <c r="B13" s="6">
        <v>1</v>
      </c>
      <c r="C13" s="2" t="s">
        <v>3</v>
      </c>
      <c r="D13" s="2" t="s">
        <v>3</v>
      </c>
    </row>
    <row r="14" spans="1:6" x14ac:dyDescent="0.25">
      <c r="A14" s="2" t="s">
        <v>178</v>
      </c>
      <c r="B14" s="6">
        <v>1</v>
      </c>
      <c r="C14" s="2" t="s">
        <v>3</v>
      </c>
      <c r="D14" s="2" t="s">
        <v>3</v>
      </c>
    </row>
    <row r="15" spans="1:6" x14ac:dyDescent="0.25">
      <c r="A15" s="2" t="s">
        <v>337</v>
      </c>
      <c r="B15" s="6">
        <v>1</v>
      </c>
      <c r="C15" s="2" t="s">
        <v>3</v>
      </c>
      <c r="D15" s="2" t="s">
        <v>3</v>
      </c>
    </row>
    <row r="16" spans="1:6" x14ac:dyDescent="0.25">
      <c r="A16" s="2" t="s">
        <v>338</v>
      </c>
      <c r="B16" s="6">
        <v>1</v>
      </c>
      <c r="C16" s="2" t="s">
        <v>3</v>
      </c>
      <c r="D16" s="2" t="s">
        <v>3</v>
      </c>
    </row>
    <row r="17" spans="1:4" x14ac:dyDescent="0.25">
      <c r="A17" s="2" t="s">
        <v>194</v>
      </c>
      <c r="B17" s="6">
        <v>1</v>
      </c>
      <c r="C17" s="2" t="s">
        <v>3</v>
      </c>
      <c r="D17" s="2" t="s">
        <v>3</v>
      </c>
    </row>
    <row r="18" spans="1:4" x14ac:dyDescent="0.25">
      <c r="A18" s="2" t="s">
        <v>240</v>
      </c>
      <c r="B18" s="6">
        <v>1</v>
      </c>
      <c r="C18" s="2" t="s">
        <v>3</v>
      </c>
      <c r="D18" s="2" t="s">
        <v>3</v>
      </c>
    </row>
    <row r="19" spans="1:4" x14ac:dyDescent="0.25">
      <c r="A19" s="2" t="s">
        <v>339</v>
      </c>
      <c r="B19" s="6">
        <v>1</v>
      </c>
      <c r="C19" s="2" t="s">
        <v>3</v>
      </c>
      <c r="D19" s="2" t="s">
        <v>3</v>
      </c>
    </row>
    <row r="20" spans="1:4" x14ac:dyDescent="0.25">
      <c r="A20" s="2" t="s">
        <v>340</v>
      </c>
      <c r="B20" s="6">
        <v>1</v>
      </c>
      <c r="C20" s="2" t="s">
        <v>3</v>
      </c>
      <c r="D20" s="2" t="s">
        <v>3</v>
      </c>
    </row>
    <row r="21" spans="1:4" x14ac:dyDescent="0.25">
      <c r="A21" s="2" t="s">
        <v>1189</v>
      </c>
      <c r="B21" s="6">
        <v>1</v>
      </c>
      <c r="C21" s="2" t="s">
        <v>3</v>
      </c>
      <c r="D21" s="2" t="s">
        <v>3</v>
      </c>
    </row>
    <row r="22" spans="1:4" x14ac:dyDescent="0.25">
      <c r="A22" s="2" t="s">
        <v>346</v>
      </c>
      <c r="B22" s="6">
        <v>1</v>
      </c>
      <c r="C22" s="2" t="s">
        <v>3</v>
      </c>
      <c r="D22" s="2" t="s">
        <v>3</v>
      </c>
    </row>
    <row r="23" spans="1:4" x14ac:dyDescent="0.25">
      <c r="A23" s="2" t="s">
        <v>347</v>
      </c>
      <c r="B23" s="6">
        <v>1</v>
      </c>
      <c r="C23" s="2" t="s">
        <v>3</v>
      </c>
      <c r="D23" s="2" t="s">
        <v>3</v>
      </c>
    </row>
    <row r="24" spans="1:4" x14ac:dyDescent="0.25">
      <c r="A24" s="2" t="s">
        <v>383</v>
      </c>
      <c r="B24" s="6">
        <v>1</v>
      </c>
      <c r="C24" s="2" t="s">
        <v>3</v>
      </c>
      <c r="D24" s="2" t="s">
        <v>3</v>
      </c>
    </row>
    <row r="25" spans="1:4" x14ac:dyDescent="0.25">
      <c r="A25" s="2" t="s">
        <v>204</v>
      </c>
      <c r="B25" s="6">
        <v>1</v>
      </c>
      <c r="C25" s="2" t="s">
        <v>3</v>
      </c>
      <c r="D25" s="2" t="s">
        <v>3</v>
      </c>
    </row>
    <row r="26" spans="1:4" x14ac:dyDescent="0.25">
      <c r="A26" s="2" t="s">
        <v>353</v>
      </c>
      <c r="B26" s="6">
        <v>1</v>
      </c>
      <c r="C26" s="2" t="s">
        <v>3</v>
      </c>
      <c r="D26" s="2" t="s">
        <v>3</v>
      </c>
    </row>
    <row r="27" spans="1:4" x14ac:dyDescent="0.25">
      <c r="A27" s="2" t="s">
        <v>211</v>
      </c>
      <c r="B27" s="6">
        <v>1</v>
      </c>
      <c r="C27" s="2" t="s">
        <v>3</v>
      </c>
      <c r="D27" s="2" t="s">
        <v>3</v>
      </c>
    </row>
    <row r="28" spans="1:4" x14ac:dyDescent="0.25">
      <c r="A28" s="2" t="s">
        <v>213</v>
      </c>
      <c r="B28" s="6">
        <v>1</v>
      </c>
      <c r="C28" s="2" t="s">
        <v>3</v>
      </c>
      <c r="D28" s="2" t="s">
        <v>3</v>
      </c>
    </row>
    <row r="29" spans="1:4" x14ac:dyDescent="0.25">
      <c r="A29" s="2" t="s">
        <v>216</v>
      </c>
      <c r="B29" s="6">
        <v>1</v>
      </c>
      <c r="C29" s="2" t="s">
        <v>3</v>
      </c>
      <c r="D29" s="2" t="s">
        <v>3</v>
      </c>
    </row>
    <row r="30" spans="1:4" x14ac:dyDescent="0.25">
      <c r="A30" s="2" t="s">
        <v>219</v>
      </c>
      <c r="B30" s="6">
        <v>1</v>
      </c>
      <c r="C30" s="2" t="s">
        <v>3</v>
      </c>
      <c r="D30" s="2" t="s">
        <v>3</v>
      </c>
    </row>
    <row r="31" spans="1:4" x14ac:dyDescent="0.25">
      <c r="A31" s="2" t="s">
        <v>222</v>
      </c>
      <c r="B31" s="6">
        <v>1</v>
      </c>
      <c r="C31" s="2" t="s">
        <v>3</v>
      </c>
      <c r="D31" s="2" t="s">
        <v>3</v>
      </c>
    </row>
    <row r="32" spans="1:4" x14ac:dyDescent="0.25">
      <c r="A32" s="2" t="s">
        <v>226</v>
      </c>
      <c r="B32" s="6">
        <v>1</v>
      </c>
      <c r="C32" s="2" t="s">
        <v>3</v>
      </c>
      <c r="D32" s="2" t="s">
        <v>3</v>
      </c>
    </row>
    <row r="33" spans="1:4" x14ac:dyDescent="0.25">
      <c r="A33" s="2" t="s">
        <v>395</v>
      </c>
      <c r="B33" s="6">
        <v>1</v>
      </c>
      <c r="C33" s="2" t="s">
        <v>3</v>
      </c>
      <c r="D33" s="2" t="s">
        <v>3</v>
      </c>
    </row>
    <row r="34" spans="1:4" x14ac:dyDescent="0.25">
      <c r="A34" s="2" t="s">
        <v>630</v>
      </c>
      <c r="B34" s="6">
        <v>1</v>
      </c>
      <c r="C34" s="2" t="s">
        <v>3</v>
      </c>
      <c r="D34" s="2" t="s">
        <v>3</v>
      </c>
    </row>
    <row r="35" spans="1:4" x14ac:dyDescent="0.25">
      <c r="A35" s="2" t="s">
        <v>247</v>
      </c>
      <c r="B35" s="6">
        <v>1</v>
      </c>
      <c r="C35" s="2" t="s">
        <v>3</v>
      </c>
      <c r="D35" s="2" t="s">
        <v>3</v>
      </c>
    </row>
    <row r="36" spans="1:4" x14ac:dyDescent="0.25">
      <c r="A36" s="2" t="s">
        <v>270</v>
      </c>
      <c r="B36" s="6">
        <v>1</v>
      </c>
      <c r="C36" s="2" t="s">
        <v>3</v>
      </c>
      <c r="D36" s="2" t="s">
        <v>3</v>
      </c>
    </row>
    <row r="37" spans="1:4" x14ac:dyDescent="0.25">
      <c r="A37" s="2" t="s">
        <v>284</v>
      </c>
      <c r="B37" s="6">
        <v>1</v>
      </c>
      <c r="C37" s="2" t="s">
        <v>3</v>
      </c>
      <c r="D37" s="2" t="s">
        <v>3</v>
      </c>
    </row>
    <row r="38" spans="1:4" x14ac:dyDescent="0.25">
      <c r="A38" s="2" t="s">
        <v>292</v>
      </c>
      <c r="B38" s="6">
        <v>1</v>
      </c>
      <c r="C38" s="2" t="s">
        <v>3</v>
      </c>
      <c r="D38" s="2" t="s">
        <v>3</v>
      </c>
    </row>
    <row r="39" spans="1:4" x14ac:dyDescent="0.25">
      <c r="A39" s="2" t="s">
        <v>294</v>
      </c>
      <c r="B39" s="6">
        <v>1</v>
      </c>
      <c r="C39" s="2" t="s">
        <v>3</v>
      </c>
      <c r="D39" s="2" t="s">
        <v>3</v>
      </c>
    </row>
    <row r="40" spans="1:4" x14ac:dyDescent="0.25">
      <c r="A40" s="2" t="s">
        <v>305</v>
      </c>
      <c r="B40" s="6">
        <v>1</v>
      </c>
      <c r="C40" s="2" t="s">
        <v>3</v>
      </c>
      <c r="D40" s="2" t="s">
        <v>3</v>
      </c>
    </row>
    <row r="41" spans="1:4" x14ac:dyDescent="0.25">
      <c r="A41" s="2" t="s">
        <v>396</v>
      </c>
      <c r="B41" s="6">
        <v>1</v>
      </c>
      <c r="C41" s="2" t="s">
        <v>3</v>
      </c>
      <c r="D41" s="2" t="s">
        <v>3</v>
      </c>
    </row>
    <row r="42" spans="1:4" x14ac:dyDescent="0.25">
      <c r="A42" s="2" t="s">
        <v>311</v>
      </c>
      <c r="B42" s="6">
        <v>1</v>
      </c>
      <c r="C42" s="2" t="s">
        <v>3</v>
      </c>
      <c r="D42" s="2" t="s">
        <v>3</v>
      </c>
    </row>
    <row r="43" spans="1:4" x14ac:dyDescent="0.25">
      <c r="A43" s="2" t="s">
        <v>603</v>
      </c>
      <c r="B43" s="6">
        <v>1</v>
      </c>
      <c r="C43" s="2" t="s">
        <v>3</v>
      </c>
      <c r="D43" s="2" t="s">
        <v>3</v>
      </c>
    </row>
    <row r="44" spans="1:4" x14ac:dyDescent="0.25">
      <c r="A44" s="2" t="s">
        <v>610</v>
      </c>
      <c r="B44" s="6">
        <v>1</v>
      </c>
      <c r="C44" s="2" t="s">
        <v>3</v>
      </c>
      <c r="D44" s="2" t="s">
        <v>3</v>
      </c>
    </row>
    <row r="45" spans="1:4" x14ac:dyDescent="0.25">
      <c r="A45" s="2" t="s">
        <v>321</v>
      </c>
      <c r="B45" s="6">
        <v>1</v>
      </c>
      <c r="C45" s="2" t="s">
        <v>3</v>
      </c>
      <c r="D45" s="2" t="s">
        <v>3</v>
      </c>
    </row>
    <row r="46" spans="1:4" x14ac:dyDescent="0.25">
      <c r="A46" s="2" t="s">
        <v>355</v>
      </c>
      <c r="B46" s="6">
        <v>1</v>
      </c>
      <c r="C46" s="2" t="s">
        <v>3</v>
      </c>
      <c r="D46" s="2" t="s">
        <v>3</v>
      </c>
    </row>
    <row r="47" spans="1:4" x14ac:dyDescent="0.25">
      <c r="A47" s="2" t="s">
        <v>365</v>
      </c>
      <c r="B47" s="6">
        <v>1</v>
      </c>
      <c r="C47" s="2" t="s">
        <v>3</v>
      </c>
      <c r="D47" s="2" t="s">
        <v>3</v>
      </c>
    </row>
    <row r="48" spans="1:4" x14ac:dyDescent="0.25">
      <c r="A48" s="2" t="s">
        <v>371</v>
      </c>
      <c r="B48" s="6">
        <v>1</v>
      </c>
      <c r="C48" s="2" t="s">
        <v>3</v>
      </c>
      <c r="D48" s="2" t="s">
        <v>3</v>
      </c>
    </row>
    <row r="49" spans="1:4" x14ac:dyDescent="0.25">
      <c r="A49" s="2" t="s">
        <v>374</v>
      </c>
      <c r="B49" s="6">
        <v>1</v>
      </c>
      <c r="C49" s="2" t="s">
        <v>3</v>
      </c>
      <c r="D49" s="2" t="s">
        <v>3</v>
      </c>
    </row>
    <row r="50" spans="1:4" x14ac:dyDescent="0.25">
      <c r="A50" s="2" t="s">
        <v>376</v>
      </c>
      <c r="B50" s="6">
        <v>1</v>
      </c>
      <c r="C50" s="2" t="s">
        <v>3</v>
      </c>
      <c r="D50" s="2" t="s">
        <v>3</v>
      </c>
    </row>
    <row r="51" spans="1:4" x14ac:dyDescent="0.25">
      <c r="A51" s="2" t="s">
        <v>412</v>
      </c>
      <c r="B51" s="6">
        <v>1</v>
      </c>
      <c r="C51" s="2" t="s">
        <v>3</v>
      </c>
      <c r="D51" s="2" t="s">
        <v>3</v>
      </c>
    </row>
    <row r="52" spans="1:4" x14ac:dyDescent="0.25">
      <c r="A52" s="2" t="s">
        <v>413</v>
      </c>
      <c r="B52" s="6">
        <v>1</v>
      </c>
      <c r="C52" s="2" t="s">
        <v>3</v>
      </c>
      <c r="D52" s="2" t="s">
        <v>3</v>
      </c>
    </row>
    <row r="53" spans="1:4" x14ac:dyDescent="0.25">
      <c r="A53" s="2" t="s">
        <v>414</v>
      </c>
      <c r="B53" s="6">
        <v>1</v>
      </c>
      <c r="C53" s="2" t="s">
        <v>3</v>
      </c>
      <c r="D53" s="2" t="s">
        <v>3</v>
      </c>
    </row>
    <row r="54" spans="1:4" x14ac:dyDescent="0.25">
      <c r="A54" s="2" t="s">
        <v>415</v>
      </c>
      <c r="B54" s="6">
        <v>1</v>
      </c>
      <c r="C54" s="2" t="s">
        <v>3</v>
      </c>
      <c r="D54" s="2" t="s">
        <v>3</v>
      </c>
    </row>
    <row r="55" spans="1:4" x14ac:dyDescent="0.25">
      <c r="A55" s="2" t="s">
        <v>416</v>
      </c>
      <c r="B55" s="6">
        <v>1</v>
      </c>
      <c r="C55" s="2" t="s">
        <v>3</v>
      </c>
      <c r="D55" s="2" t="s">
        <v>3</v>
      </c>
    </row>
    <row r="56" spans="1:4" x14ac:dyDescent="0.25">
      <c r="A56" s="2" t="s">
        <v>417</v>
      </c>
      <c r="B56" s="6">
        <v>1</v>
      </c>
      <c r="C56" s="2" t="s">
        <v>3</v>
      </c>
      <c r="D56" s="2" t="s">
        <v>3</v>
      </c>
    </row>
    <row r="57" spans="1:4" x14ac:dyDescent="0.25">
      <c r="A57" s="2" t="s">
        <v>418</v>
      </c>
      <c r="B57" s="6">
        <v>1</v>
      </c>
      <c r="C57" s="2" t="s">
        <v>3</v>
      </c>
      <c r="D57" s="2" t="s">
        <v>3</v>
      </c>
    </row>
    <row r="58" spans="1:4" x14ac:dyDescent="0.25">
      <c r="A58" s="2" t="s">
        <v>419</v>
      </c>
      <c r="B58" s="6">
        <v>1</v>
      </c>
      <c r="C58" s="2" t="s">
        <v>3</v>
      </c>
      <c r="D58" s="2" t="s">
        <v>3</v>
      </c>
    </row>
    <row r="59" spans="1:4" x14ac:dyDescent="0.25">
      <c r="A59" s="2" t="s">
        <v>420</v>
      </c>
      <c r="B59" s="6">
        <v>1</v>
      </c>
      <c r="C59" s="2" t="s">
        <v>3</v>
      </c>
      <c r="D59" s="2" t="s">
        <v>3</v>
      </c>
    </row>
    <row r="60" spans="1:4" x14ac:dyDescent="0.25">
      <c r="A60" s="2" t="s">
        <v>489</v>
      </c>
      <c r="B60" s="6">
        <v>1</v>
      </c>
      <c r="C60" s="2" t="s">
        <v>3</v>
      </c>
      <c r="D60" s="2" t="s">
        <v>3</v>
      </c>
    </row>
    <row r="61" spans="1:4" x14ac:dyDescent="0.25">
      <c r="A61" s="2" t="s">
        <v>490</v>
      </c>
      <c r="B61" s="6">
        <v>1</v>
      </c>
      <c r="C61" s="2" t="s">
        <v>3</v>
      </c>
      <c r="D61" s="2" t="s">
        <v>3</v>
      </c>
    </row>
    <row r="62" spans="1:4" x14ac:dyDescent="0.25">
      <c r="A62" s="2" t="s">
        <v>491</v>
      </c>
      <c r="B62" s="6">
        <v>1</v>
      </c>
      <c r="C62" s="2" t="s">
        <v>3</v>
      </c>
      <c r="D62" s="2" t="s">
        <v>3</v>
      </c>
    </row>
    <row r="63" spans="1:4" x14ac:dyDescent="0.25">
      <c r="A63" s="2" t="s">
        <v>1019</v>
      </c>
      <c r="B63" s="6">
        <v>1</v>
      </c>
      <c r="C63" s="2" t="s">
        <v>3</v>
      </c>
      <c r="D63" s="2" t="s">
        <v>3</v>
      </c>
    </row>
    <row r="64" spans="1:4" x14ac:dyDescent="0.25">
      <c r="A64" s="2" t="s">
        <v>492</v>
      </c>
      <c r="B64" s="6">
        <v>1</v>
      </c>
      <c r="C64" s="2" t="s">
        <v>3</v>
      </c>
      <c r="D64" s="2" t="s">
        <v>3</v>
      </c>
    </row>
    <row r="65" spans="1:4" x14ac:dyDescent="0.25">
      <c r="A65" s="2" t="s">
        <v>1011</v>
      </c>
      <c r="B65" s="6">
        <v>1</v>
      </c>
      <c r="C65" s="2" t="s">
        <v>3</v>
      </c>
      <c r="D65" s="2" t="s">
        <v>3</v>
      </c>
    </row>
    <row r="66" spans="1:4" x14ac:dyDescent="0.25">
      <c r="A66" s="2" t="s">
        <v>1018</v>
      </c>
      <c r="B66" s="6">
        <v>1</v>
      </c>
      <c r="C66" s="2" t="s">
        <v>3</v>
      </c>
      <c r="D66" s="2" t="s">
        <v>3</v>
      </c>
    </row>
    <row r="67" spans="1:4" x14ac:dyDescent="0.25">
      <c r="A67" s="2" t="s">
        <v>1023</v>
      </c>
      <c r="B67" s="6">
        <v>1</v>
      </c>
      <c r="C67" s="2" t="s">
        <v>3</v>
      </c>
      <c r="D67" s="2" t="s">
        <v>3</v>
      </c>
    </row>
    <row r="68" spans="1:4" x14ac:dyDescent="0.25">
      <c r="A68" s="2" t="s">
        <v>508</v>
      </c>
      <c r="B68" s="6">
        <v>1</v>
      </c>
      <c r="C68" s="2" t="s">
        <v>3</v>
      </c>
      <c r="D68" s="2" t="s">
        <v>3</v>
      </c>
    </row>
    <row r="69" spans="1:4" x14ac:dyDescent="0.25">
      <c r="A69" s="2" t="s">
        <v>525</v>
      </c>
      <c r="B69" s="6">
        <v>1</v>
      </c>
      <c r="C69" s="2" t="s">
        <v>3</v>
      </c>
      <c r="D69" s="2" t="s">
        <v>3</v>
      </c>
    </row>
    <row r="70" spans="1:4" x14ac:dyDescent="0.25">
      <c r="A70" s="2" t="s">
        <v>528</v>
      </c>
      <c r="B70" s="6">
        <v>1</v>
      </c>
      <c r="C70" s="2" t="s">
        <v>3</v>
      </c>
      <c r="D70" s="2" t="s">
        <v>3</v>
      </c>
    </row>
    <row r="71" spans="1:4" x14ac:dyDescent="0.25">
      <c r="A71" s="2" t="s">
        <v>529</v>
      </c>
      <c r="B71" s="6">
        <v>1</v>
      </c>
      <c r="C71" s="2" t="s">
        <v>3</v>
      </c>
      <c r="D71" s="2" t="s">
        <v>3</v>
      </c>
    </row>
    <row r="72" spans="1:4" x14ac:dyDescent="0.25">
      <c r="A72" s="2" t="s">
        <v>530</v>
      </c>
      <c r="B72" s="6">
        <v>1</v>
      </c>
      <c r="C72" s="2" t="s">
        <v>3</v>
      </c>
      <c r="D72" s="2" t="s">
        <v>3</v>
      </c>
    </row>
    <row r="73" spans="1:4" x14ac:dyDescent="0.25">
      <c r="A73" s="2" t="s">
        <v>531</v>
      </c>
      <c r="B73" s="6">
        <v>1</v>
      </c>
      <c r="C73" s="2" t="s">
        <v>3</v>
      </c>
      <c r="D73" s="2" t="s">
        <v>3</v>
      </c>
    </row>
    <row r="74" spans="1:4" x14ac:dyDescent="0.25">
      <c r="A74" s="2" t="s">
        <v>532</v>
      </c>
      <c r="B74" s="6">
        <v>1</v>
      </c>
      <c r="C74" s="2" t="s">
        <v>3</v>
      </c>
      <c r="D74" s="2" t="s">
        <v>3</v>
      </c>
    </row>
    <row r="75" spans="1:4" x14ac:dyDescent="0.25">
      <c r="A75" s="2" t="s">
        <v>533</v>
      </c>
      <c r="B75" s="6">
        <v>1</v>
      </c>
      <c r="C75" s="2" t="s">
        <v>3</v>
      </c>
      <c r="D75" s="2" t="s">
        <v>3</v>
      </c>
    </row>
    <row r="76" spans="1:4" x14ac:dyDescent="0.25">
      <c r="A76" s="2" t="s">
        <v>534</v>
      </c>
      <c r="B76" s="6">
        <v>1</v>
      </c>
      <c r="C76" s="2" t="s">
        <v>3</v>
      </c>
      <c r="D76" s="2" t="s">
        <v>3</v>
      </c>
    </row>
    <row r="77" spans="1:4" x14ac:dyDescent="0.25">
      <c r="A77" s="2" t="s">
        <v>535</v>
      </c>
      <c r="B77" s="6">
        <v>1</v>
      </c>
      <c r="C77" s="2" t="s">
        <v>3</v>
      </c>
      <c r="D77" s="2" t="s">
        <v>3</v>
      </c>
    </row>
    <row r="78" spans="1:4" x14ac:dyDescent="0.25">
      <c r="A78" s="2" t="s">
        <v>536</v>
      </c>
      <c r="B78" s="6">
        <v>1</v>
      </c>
      <c r="C78" s="2" t="s">
        <v>3</v>
      </c>
      <c r="D78" s="2" t="s">
        <v>3</v>
      </c>
    </row>
    <row r="79" spans="1:4" x14ac:dyDescent="0.25">
      <c r="A79" s="2" t="s">
        <v>574</v>
      </c>
      <c r="B79" s="6">
        <v>1</v>
      </c>
      <c r="C79" s="2" t="s">
        <v>3</v>
      </c>
      <c r="D79" s="2" t="s">
        <v>3</v>
      </c>
    </row>
    <row r="80" spans="1:4" x14ac:dyDescent="0.25">
      <c r="A80" s="2" t="s">
        <v>575</v>
      </c>
      <c r="B80" s="6">
        <v>1</v>
      </c>
      <c r="C80" s="2" t="s">
        <v>3</v>
      </c>
      <c r="D80" s="2" t="s">
        <v>3</v>
      </c>
    </row>
    <row r="81" spans="1:4" x14ac:dyDescent="0.25">
      <c r="A81" s="2" t="s">
        <v>576</v>
      </c>
      <c r="B81" s="6">
        <v>1</v>
      </c>
      <c r="C81" s="2" t="s">
        <v>3</v>
      </c>
      <c r="D81" s="2" t="s">
        <v>3</v>
      </c>
    </row>
    <row r="82" spans="1:4" x14ac:dyDescent="0.25">
      <c r="A82" s="2" t="s">
        <v>577</v>
      </c>
      <c r="B82" s="6">
        <v>1</v>
      </c>
      <c r="C82" s="2" t="s">
        <v>3</v>
      </c>
      <c r="D82" s="2" t="s">
        <v>3</v>
      </c>
    </row>
    <row r="83" spans="1:4" x14ac:dyDescent="0.25">
      <c r="A83" s="2" t="s">
        <v>578</v>
      </c>
      <c r="B83" s="6">
        <v>1</v>
      </c>
      <c r="C83" s="2" t="s">
        <v>3</v>
      </c>
      <c r="D83" s="2" t="s">
        <v>3</v>
      </c>
    </row>
    <row r="84" spans="1:4" x14ac:dyDescent="0.25">
      <c r="A84" s="2" t="s">
        <v>579</v>
      </c>
      <c r="B84" s="6">
        <v>1</v>
      </c>
      <c r="C84" s="2" t="s">
        <v>3</v>
      </c>
      <c r="D84" s="2" t="s">
        <v>3</v>
      </c>
    </row>
    <row r="85" spans="1:4" x14ac:dyDescent="0.25">
      <c r="A85" s="2" t="s">
        <v>580</v>
      </c>
      <c r="B85" s="6">
        <v>1</v>
      </c>
      <c r="C85" s="2" t="s">
        <v>3</v>
      </c>
      <c r="D85" s="2" t="s">
        <v>3</v>
      </c>
    </row>
    <row r="86" spans="1:4" x14ac:dyDescent="0.25">
      <c r="A86" s="2" t="s">
        <v>581</v>
      </c>
      <c r="B86" s="6">
        <v>1</v>
      </c>
      <c r="C86" s="2" t="s">
        <v>3</v>
      </c>
      <c r="D86" s="2" t="s">
        <v>3</v>
      </c>
    </row>
    <row r="87" spans="1:4" x14ac:dyDescent="0.25">
      <c r="A87" s="2" t="s">
        <v>581</v>
      </c>
      <c r="B87" s="2">
        <v>1</v>
      </c>
      <c r="C87" s="2" t="s">
        <v>3</v>
      </c>
      <c r="D87" s="2" t="s">
        <v>3</v>
      </c>
    </row>
    <row r="88" spans="1:4" x14ac:dyDescent="0.25">
      <c r="A88" s="2" t="s">
        <v>728</v>
      </c>
      <c r="B88" s="2">
        <v>1</v>
      </c>
      <c r="C88" s="2" t="s">
        <v>3</v>
      </c>
      <c r="D88" s="2" t="s">
        <v>3</v>
      </c>
    </row>
    <row r="89" spans="1:4" x14ac:dyDescent="0.25">
      <c r="A89" s="2" t="s">
        <v>729</v>
      </c>
      <c r="B89" s="2">
        <v>1</v>
      </c>
      <c r="C89" s="2" t="s">
        <v>3</v>
      </c>
      <c r="D89" s="2" t="s">
        <v>3</v>
      </c>
    </row>
    <row r="90" spans="1:4" x14ac:dyDescent="0.25">
      <c r="A90" s="2" t="s">
        <v>730</v>
      </c>
      <c r="B90" s="2">
        <v>1</v>
      </c>
      <c r="C90" s="2" t="s">
        <v>3</v>
      </c>
      <c r="D90" s="2" t="s">
        <v>3</v>
      </c>
    </row>
    <row r="91" spans="1:4" x14ac:dyDescent="0.25">
      <c r="A91" s="2" t="s">
        <v>731</v>
      </c>
      <c r="B91" s="2">
        <v>1</v>
      </c>
      <c r="C91" s="2" t="s">
        <v>3</v>
      </c>
      <c r="D91" s="2" t="s">
        <v>3</v>
      </c>
    </row>
    <row r="92" spans="1:4" x14ac:dyDescent="0.25">
      <c r="A92" s="2" t="s">
        <v>732</v>
      </c>
      <c r="B92" s="2">
        <v>1</v>
      </c>
      <c r="C92" s="2" t="s">
        <v>3</v>
      </c>
      <c r="D92" s="2" t="s">
        <v>3</v>
      </c>
    </row>
    <row r="93" spans="1:4" x14ac:dyDescent="0.25">
      <c r="A93" s="2" t="s">
        <v>733</v>
      </c>
      <c r="B93" s="2">
        <v>1</v>
      </c>
      <c r="C93" s="2" t="s">
        <v>3</v>
      </c>
      <c r="D93" s="2" t="s">
        <v>3</v>
      </c>
    </row>
    <row r="94" spans="1:4" x14ac:dyDescent="0.25">
      <c r="A94" s="2" t="s">
        <v>734</v>
      </c>
      <c r="B94" s="2">
        <v>1</v>
      </c>
      <c r="C94" s="2" t="s">
        <v>3</v>
      </c>
      <c r="D94" s="2" t="s">
        <v>3</v>
      </c>
    </row>
    <row r="95" spans="1:4" x14ac:dyDescent="0.25">
      <c r="A95" s="2" t="s">
        <v>735</v>
      </c>
      <c r="B95" s="2">
        <v>1</v>
      </c>
      <c r="C95" s="2" t="s">
        <v>3</v>
      </c>
      <c r="D95" s="2" t="s">
        <v>3</v>
      </c>
    </row>
    <row r="96" spans="1:4" x14ac:dyDescent="0.25">
      <c r="A96" s="2" t="s">
        <v>849</v>
      </c>
      <c r="B96" s="2">
        <v>1</v>
      </c>
      <c r="C96" s="2" t="s">
        <v>3</v>
      </c>
      <c r="D96" s="2" t="s">
        <v>3</v>
      </c>
    </row>
    <row r="97" spans="1:4" x14ac:dyDescent="0.25">
      <c r="A97" s="2" t="s">
        <v>864</v>
      </c>
      <c r="B97" s="2">
        <v>1</v>
      </c>
      <c r="C97" s="2" t="s">
        <v>3</v>
      </c>
      <c r="D97" s="2" t="s">
        <v>3</v>
      </c>
    </row>
    <row r="98" spans="1:4" x14ac:dyDescent="0.25">
      <c r="A98" s="2" t="s">
        <v>868</v>
      </c>
      <c r="B98" s="2">
        <v>1</v>
      </c>
      <c r="C98" s="2" t="s">
        <v>3</v>
      </c>
      <c r="D98" s="2" t="s">
        <v>3</v>
      </c>
    </row>
    <row r="99" spans="1:4" x14ac:dyDescent="0.25">
      <c r="A99" s="2" t="s">
        <v>869</v>
      </c>
      <c r="B99" s="2">
        <v>1</v>
      </c>
      <c r="C99" s="2" t="s">
        <v>3</v>
      </c>
      <c r="D99" s="2" t="s">
        <v>3</v>
      </c>
    </row>
    <row r="100" spans="1:4" x14ac:dyDescent="0.25">
      <c r="A100" s="2" t="s">
        <v>879</v>
      </c>
      <c r="B100" s="2">
        <v>1</v>
      </c>
      <c r="C100" s="2" t="s">
        <v>3</v>
      </c>
      <c r="D100" s="2" t="s">
        <v>3</v>
      </c>
    </row>
    <row r="101" spans="1:4" x14ac:dyDescent="0.25">
      <c r="A101" s="2" t="s">
        <v>736</v>
      </c>
      <c r="B101" s="2">
        <v>1</v>
      </c>
      <c r="C101" s="2" t="s">
        <v>3</v>
      </c>
      <c r="D101" s="2" t="s">
        <v>3</v>
      </c>
    </row>
    <row r="102" spans="1:4" x14ac:dyDescent="0.25">
      <c r="A102" s="2" t="s">
        <v>741</v>
      </c>
      <c r="B102" s="2">
        <v>1</v>
      </c>
      <c r="C102" s="2" t="s">
        <v>3</v>
      </c>
      <c r="D102" s="2" t="s">
        <v>3</v>
      </c>
    </row>
    <row r="103" spans="1:4" x14ac:dyDescent="0.25">
      <c r="A103" s="2" t="s">
        <v>742</v>
      </c>
      <c r="B103" s="2">
        <v>1</v>
      </c>
      <c r="C103" s="2" t="s">
        <v>3</v>
      </c>
      <c r="D103" s="2" t="s">
        <v>3</v>
      </c>
    </row>
    <row r="104" spans="1:4" x14ac:dyDescent="0.25">
      <c r="A104" s="2" t="s">
        <v>743</v>
      </c>
      <c r="B104" s="2">
        <v>1</v>
      </c>
      <c r="C104" s="2" t="s">
        <v>3</v>
      </c>
      <c r="D104" s="2" t="s">
        <v>3</v>
      </c>
    </row>
    <row r="105" spans="1:4" x14ac:dyDescent="0.25">
      <c r="A105" s="2" t="s">
        <v>744</v>
      </c>
      <c r="B105" s="2">
        <v>1</v>
      </c>
      <c r="C105" s="2" t="s">
        <v>3</v>
      </c>
      <c r="D105" s="2" t="s">
        <v>3</v>
      </c>
    </row>
    <row r="106" spans="1:4" x14ac:dyDescent="0.25">
      <c r="A106" s="2" t="s">
        <v>745</v>
      </c>
      <c r="B106" s="2">
        <v>1</v>
      </c>
      <c r="C106" s="2" t="s">
        <v>3</v>
      </c>
      <c r="D106" s="2" t="s">
        <v>3</v>
      </c>
    </row>
    <row r="107" spans="1:4" x14ac:dyDescent="0.25">
      <c r="A107" s="2" t="s">
        <v>746</v>
      </c>
      <c r="B107" s="2">
        <v>1</v>
      </c>
      <c r="C107" s="2" t="s">
        <v>3</v>
      </c>
      <c r="D107" s="2" t="s">
        <v>3</v>
      </c>
    </row>
    <row r="108" spans="1:4" x14ac:dyDescent="0.25">
      <c r="A108" s="2" t="s">
        <v>747</v>
      </c>
      <c r="B108" s="2">
        <v>1</v>
      </c>
      <c r="C108" s="2" t="s">
        <v>3</v>
      </c>
      <c r="D108" s="2" t="s">
        <v>3</v>
      </c>
    </row>
    <row r="109" spans="1:4" x14ac:dyDescent="0.25">
      <c r="A109" s="2" t="s">
        <v>748</v>
      </c>
      <c r="B109" s="2">
        <v>1</v>
      </c>
      <c r="C109" s="2" t="s">
        <v>3</v>
      </c>
      <c r="D109" s="2" t="s">
        <v>3</v>
      </c>
    </row>
    <row r="110" spans="1:4" x14ac:dyDescent="0.25">
      <c r="A110" s="2" t="s">
        <v>749</v>
      </c>
      <c r="B110" s="2">
        <v>1</v>
      </c>
      <c r="C110" s="2" t="s">
        <v>3</v>
      </c>
      <c r="D110" s="2" t="s">
        <v>3</v>
      </c>
    </row>
    <row r="111" spans="1:4" x14ac:dyDescent="0.25">
      <c r="A111" s="2" t="s">
        <v>750</v>
      </c>
      <c r="B111" s="2">
        <v>1</v>
      </c>
      <c r="C111" s="2" t="s">
        <v>3</v>
      </c>
      <c r="D111" s="2" t="s">
        <v>3</v>
      </c>
    </row>
    <row r="112" spans="1:4" x14ac:dyDescent="0.25">
      <c r="A112" s="2" t="s">
        <v>751</v>
      </c>
      <c r="B112" s="2">
        <v>1</v>
      </c>
      <c r="C112" s="2" t="s">
        <v>3</v>
      </c>
      <c r="D112" s="2" t="s">
        <v>3</v>
      </c>
    </row>
    <row r="113" spans="1:4" x14ac:dyDescent="0.25">
      <c r="A113" s="2" t="s">
        <v>752</v>
      </c>
      <c r="B113" s="2">
        <v>1</v>
      </c>
      <c r="C113" s="2" t="s">
        <v>3</v>
      </c>
      <c r="D113" s="2" t="s">
        <v>3</v>
      </c>
    </row>
    <row r="114" spans="1:4" x14ac:dyDescent="0.25">
      <c r="A114" s="2" t="s">
        <v>917</v>
      </c>
      <c r="B114" s="2">
        <v>1</v>
      </c>
      <c r="C114" s="2" t="s">
        <v>3</v>
      </c>
      <c r="D114" s="2" t="s">
        <v>3</v>
      </c>
    </row>
    <row r="115" spans="1:4" x14ac:dyDescent="0.25">
      <c r="A115" s="2" t="s">
        <v>918</v>
      </c>
      <c r="B115" s="2">
        <v>1</v>
      </c>
      <c r="C115" s="2" t="s">
        <v>3</v>
      </c>
      <c r="D115" s="2" t="s">
        <v>3</v>
      </c>
    </row>
    <row r="116" spans="1:4" x14ac:dyDescent="0.25">
      <c r="A116" s="2" t="s">
        <v>1096</v>
      </c>
      <c r="B116" s="2">
        <v>1</v>
      </c>
      <c r="C116" s="2" t="s">
        <v>3</v>
      </c>
      <c r="D116" s="2" t="s">
        <v>3</v>
      </c>
    </row>
    <row r="117" spans="1:4" x14ac:dyDescent="0.25">
      <c r="A117" s="2" t="s">
        <v>1102</v>
      </c>
      <c r="B117" s="2">
        <v>1</v>
      </c>
      <c r="C117" s="2" t="s">
        <v>3</v>
      </c>
      <c r="D117" s="2" t="s">
        <v>3</v>
      </c>
    </row>
    <row r="118" spans="1:4" x14ac:dyDescent="0.25">
      <c r="A118" s="2" t="s">
        <v>1103</v>
      </c>
      <c r="B118" s="2">
        <v>1</v>
      </c>
      <c r="C118" s="2" t="s">
        <v>3</v>
      </c>
      <c r="D118" s="2" t="s">
        <v>3</v>
      </c>
    </row>
    <row r="119" spans="1:4" x14ac:dyDescent="0.25">
      <c r="A119" s="2" t="s">
        <v>1104</v>
      </c>
      <c r="B119" s="2">
        <v>1</v>
      </c>
      <c r="C119" s="2" t="s">
        <v>3</v>
      </c>
      <c r="D119" s="2" t="s">
        <v>3</v>
      </c>
    </row>
    <row r="120" spans="1:4" x14ac:dyDescent="0.25">
      <c r="A120" s="2" t="s">
        <v>1105</v>
      </c>
      <c r="B120" s="2">
        <v>1</v>
      </c>
      <c r="C120" s="2" t="s">
        <v>3</v>
      </c>
      <c r="D120" s="2" t="s">
        <v>3</v>
      </c>
    </row>
    <row r="121" spans="1:4" x14ac:dyDescent="0.25">
      <c r="A121" s="2" t="s">
        <v>1106</v>
      </c>
      <c r="B121" s="2">
        <v>1</v>
      </c>
      <c r="C121" s="2" t="s">
        <v>3</v>
      </c>
      <c r="D121" s="2" t="s">
        <v>3</v>
      </c>
    </row>
    <row r="122" spans="1:4" x14ac:dyDescent="0.25">
      <c r="A122" s="2" t="s">
        <v>1107</v>
      </c>
      <c r="B122" s="2">
        <v>1</v>
      </c>
      <c r="C122" s="2" t="s">
        <v>3</v>
      </c>
      <c r="D122" s="2" t="s">
        <v>3</v>
      </c>
    </row>
    <row r="123" spans="1:4" x14ac:dyDescent="0.25">
      <c r="A123" s="2" t="s">
        <v>1108</v>
      </c>
      <c r="B123" s="2">
        <v>1</v>
      </c>
      <c r="C123" s="2" t="s">
        <v>3</v>
      </c>
      <c r="D123" s="2" t="s">
        <v>3</v>
      </c>
    </row>
    <row r="124" spans="1:4" x14ac:dyDescent="0.25">
      <c r="A124" s="2" t="s">
        <v>1109</v>
      </c>
      <c r="B124" s="2">
        <v>1</v>
      </c>
      <c r="C124" s="2" t="s">
        <v>3</v>
      </c>
      <c r="D124" s="2" t="s">
        <v>3</v>
      </c>
    </row>
    <row r="125" spans="1:4" x14ac:dyDescent="0.25">
      <c r="A125" s="2" t="s">
        <v>1110</v>
      </c>
      <c r="B125" s="2">
        <v>1</v>
      </c>
      <c r="C125" s="2" t="s">
        <v>3</v>
      </c>
      <c r="D125" s="2" t="s">
        <v>3</v>
      </c>
    </row>
    <row r="126" spans="1:4" x14ac:dyDescent="0.25">
      <c r="A126" s="2" t="s">
        <v>1111</v>
      </c>
      <c r="B126" s="2">
        <v>1</v>
      </c>
      <c r="C126" s="2" t="s">
        <v>3</v>
      </c>
      <c r="D126" s="2" t="s">
        <v>3</v>
      </c>
    </row>
    <row r="127" spans="1:4" x14ac:dyDescent="0.25">
      <c r="A127" s="2" t="s">
        <v>1112</v>
      </c>
      <c r="B127" s="2">
        <v>1</v>
      </c>
      <c r="C127" s="2" t="s">
        <v>3</v>
      </c>
      <c r="D127" s="2" t="s">
        <v>3</v>
      </c>
    </row>
    <row r="128" spans="1:4" x14ac:dyDescent="0.25">
      <c r="A128" s="2" t="s">
        <v>1113</v>
      </c>
      <c r="B128" s="2">
        <v>1</v>
      </c>
      <c r="C128" s="2" t="s">
        <v>3</v>
      </c>
      <c r="D128" s="2" t="s">
        <v>3</v>
      </c>
    </row>
    <row r="129" spans="1:4" x14ac:dyDescent="0.25">
      <c r="A129" s="2" t="s">
        <v>1114</v>
      </c>
      <c r="B129" s="2">
        <v>1</v>
      </c>
      <c r="C129" s="2" t="s">
        <v>3</v>
      </c>
      <c r="D129" s="2" t="s">
        <v>3</v>
      </c>
    </row>
    <row r="130" spans="1:4" x14ac:dyDescent="0.25">
      <c r="A130" s="2" t="s">
        <v>1115</v>
      </c>
      <c r="B130" s="2">
        <v>1</v>
      </c>
      <c r="C130" s="2" t="s">
        <v>3</v>
      </c>
      <c r="D130" s="2" t="s">
        <v>3</v>
      </c>
    </row>
    <row r="131" spans="1:4" x14ac:dyDescent="0.25">
      <c r="A131" s="2" t="s">
        <v>1116</v>
      </c>
      <c r="B131" s="2">
        <v>1</v>
      </c>
      <c r="C131" s="2" t="s">
        <v>3</v>
      </c>
      <c r="D131" s="2" t="s">
        <v>3</v>
      </c>
    </row>
    <row r="132" spans="1:4" x14ac:dyDescent="0.25">
      <c r="A132" s="2" t="s">
        <v>1117</v>
      </c>
      <c r="B132" s="2">
        <v>1</v>
      </c>
      <c r="C132" s="2" t="s">
        <v>3</v>
      </c>
      <c r="D132" s="2" t="s">
        <v>3</v>
      </c>
    </row>
    <row r="133" spans="1:4" x14ac:dyDescent="0.25">
      <c r="A133" s="2" t="s">
        <v>1118</v>
      </c>
      <c r="B133" s="2">
        <v>1</v>
      </c>
      <c r="C133" s="2" t="s">
        <v>3</v>
      </c>
      <c r="D133" s="2" t="s">
        <v>3</v>
      </c>
    </row>
    <row r="134" spans="1:4" x14ac:dyDescent="0.25">
      <c r="A134" s="2" t="s">
        <v>1119</v>
      </c>
      <c r="B134" s="2">
        <v>1</v>
      </c>
      <c r="C134" s="2" t="s">
        <v>3</v>
      </c>
      <c r="D134" s="2" t="s">
        <v>3</v>
      </c>
    </row>
    <row r="135" spans="1:4" x14ac:dyDescent="0.25">
      <c r="A135" s="2" t="s">
        <v>1120</v>
      </c>
      <c r="B135" s="2">
        <v>1</v>
      </c>
      <c r="C135" s="2" t="s">
        <v>3</v>
      </c>
      <c r="D135" s="2" t="s">
        <v>3</v>
      </c>
    </row>
    <row r="136" spans="1:4" x14ac:dyDescent="0.25">
      <c r="A136" s="2" t="s">
        <v>1121</v>
      </c>
      <c r="B136" s="2">
        <v>1</v>
      </c>
      <c r="C136" s="2" t="s">
        <v>3</v>
      </c>
      <c r="D136" s="2" t="s">
        <v>3</v>
      </c>
    </row>
    <row r="137" spans="1:4" x14ac:dyDescent="0.25">
      <c r="A137" s="2" t="s">
        <v>1122</v>
      </c>
      <c r="B137" s="2">
        <v>1</v>
      </c>
      <c r="C137" s="2" t="s">
        <v>3</v>
      </c>
      <c r="D137" s="2" t="s">
        <v>3</v>
      </c>
    </row>
    <row r="138" spans="1:4" x14ac:dyDescent="0.25">
      <c r="A138" s="2" t="s">
        <v>1123</v>
      </c>
      <c r="B138" s="2">
        <v>1</v>
      </c>
      <c r="C138" s="2" t="s">
        <v>3</v>
      </c>
      <c r="D138" s="2" t="s">
        <v>3</v>
      </c>
    </row>
    <row r="139" spans="1:4" x14ac:dyDescent="0.25">
      <c r="A139" s="2" t="s">
        <v>1124</v>
      </c>
      <c r="B139" s="2">
        <v>1</v>
      </c>
      <c r="C139" s="2" t="s">
        <v>3</v>
      </c>
      <c r="D139" s="2" t="s">
        <v>3</v>
      </c>
    </row>
    <row r="140" spans="1:4" x14ac:dyDescent="0.25">
      <c r="A140" s="2" t="s">
        <v>90</v>
      </c>
      <c r="B140" s="2">
        <v>1</v>
      </c>
      <c r="C140" s="2" t="s">
        <v>3</v>
      </c>
      <c r="D140" s="2" t="s">
        <v>3</v>
      </c>
    </row>
    <row r="141" spans="1:4" x14ac:dyDescent="0.25">
      <c r="A141" s="2" t="s">
        <v>91</v>
      </c>
      <c r="B141" s="2">
        <v>1</v>
      </c>
      <c r="C141" s="2" t="s">
        <v>3</v>
      </c>
      <c r="D141" s="2" t="s">
        <v>3</v>
      </c>
    </row>
    <row r="142" spans="1:4" x14ac:dyDescent="0.25">
      <c r="A142" s="2" t="s">
        <v>1125</v>
      </c>
      <c r="B142" s="2">
        <v>1</v>
      </c>
      <c r="C142" s="2" t="s">
        <v>3</v>
      </c>
      <c r="D142" s="2" t="s">
        <v>3</v>
      </c>
    </row>
    <row r="143" spans="1:4" x14ac:dyDescent="0.25">
      <c r="A143" s="2" t="s">
        <v>1126</v>
      </c>
      <c r="B143" s="2">
        <v>1</v>
      </c>
      <c r="C143" s="2" t="s">
        <v>3</v>
      </c>
      <c r="D143" s="2" t="s">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10"/>
  <sheetViews>
    <sheetView zoomScale="80" zoomScaleNormal="80" workbookViewId="0">
      <selection activeCell="C10" sqref="C10"/>
    </sheetView>
  </sheetViews>
  <sheetFormatPr defaultRowHeight="15" x14ac:dyDescent="0.25"/>
  <cols>
    <col min="1" max="1" width="7.7109375" style="14" bestFit="1" customWidth="1" collapsed="1"/>
    <col min="2" max="2" width="9.140625" style="14" collapsed="1"/>
    <col min="3" max="3" width="29.42578125" style="14" bestFit="1" customWidth="1" collapsed="1"/>
    <col min="4" max="4" width="17.42578125" style="14" bestFit="1" customWidth="1" collapsed="1"/>
    <col min="5" max="5" width="15.5703125" style="14" customWidth="1" collapsed="1"/>
    <col min="6" max="16384" width="9.140625" style="14" collapsed="1"/>
  </cols>
  <sheetData>
    <row r="1" spans="1:5" x14ac:dyDescent="0.25">
      <c r="A1" s="9" t="s">
        <v>0</v>
      </c>
      <c r="B1" s="9" t="s">
        <v>20</v>
      </c>
      <c r="C1" s="9" t="s">
        <v>784</v>
      </c>
      <c r="D1" s="5" t="s">
        <v>48</v>
      </c>
      <c r="E1" s="5" t="s">
        <v>87</v>
      </c>
    </row>
    <row r="2" spans="1:5" x14ac:dyDescent="0.25">
      <c r="A2" s="4" t="s">
        <v>415</v>
      </c>
      <c r="B2" s="4">
        <v>1</v>
      </c>
      <c r="C2" s="2" t="s">
        <v>935</v>
      </c>
      <c r="D2" t="s">
        <v>1175</v>
      </c>
      <c r="E2"/>
    </row>
    <row r="3" spans="1:5" x14ac:dyDescent="0.25">
      <c r="A3" s="4" t="s">
        <v>491</v>
      </c>
      <c r="B3" s="4">
        <v>1</v>
      </c>
      <c r="C3" s="2" t="s">
        <v>935</v>
      </c>
      <c r="D3" t="s">
        <v>1176</v>
      </c>
      <c r="E3"/>
    </row>
    <row r="4" spans="1:5" x14ac:dyDescent="0.25">
      <c r="A4" s="4" t="s">
        <v>1019</v>
      </c>
      <c r="B4" s="4">
        <v>1</v>
      </c>
      <c r="C4" s="2" t="s">
        <v>935</v>
      </c>
      <c r="D4" s="12" t="s">
        <v>1177</v>
      </c>
      <c r="E4"/>
    </row>
    <row r="5" spans="1:5" x14ac:dyDescent="0.25">
      <c r="A5" s="2" t="s">
        <v>749</v>
      </c>
      <c r="B5" s="2">
        <v>1</v>
      </c>
      <c r="C5"/>
      <c r="D5" s="12" t="s">
        <v>916</v>
      </c>
      <c r="E5"/>
    </row>
    <row r="6" spans="1:5" x14ac:dyDescent="0.25">
      <c r="A6" s="2" t="s">
        <v>752</v>
      </c>
      <c r="B6" s="2">
        <v>1</v>
      </c>
      <c r="C6" s="2" t="s">
        <v>935</v>
      </c>
      <c r="D6" s="12" t="s">
        <v>1010</v>
      </c>
      <c r="E6"/>
    </row>
    <row r="7" spans="1:5" x14ac:dyDescent="0.25">
      <c r="A7" s="2" t="s">
        <v>917</v>
      </c>
      <c r="B7" s="2">
        <v>1</v>
      </c>
      <c r="C7" s="2" t="s">
        <v>1050</v>
      </c>
      <c r="D7"/>
      <c r="E7"/>
    </row>
    <row r="8" spans="1:5" x14ac:dyDescent="0.25">
      <c r="A8" s="2" t="s">
        <v>918</v>
      </c>
      <c r="B8" s="2">
        <v>1</v>
      </c>
      <c r="C8" s="2" t="s">
        <v>1050</v>
      </c>
      <c r="D8"/>
      <c r="E8"/>
    </row>
    <row r="9" spans="1:5" x14ac:dyDescent="0.25">
      <c r="A9" s="2" t="s">
        <v>748</v>
      </c>
      <c r="B9" s="2">
        <v>1</v>
      </c>
      <c r="C9" s="2" t="s">
        <v>1162</v>
      </c>
      <c r="D9"/>
      <c r="E9"/>
    </row>
    <row r="10" spans="1:5" x14ac:dyDescent="0.25">
      <c r="A10" s="2" t="s">
        <v>1104</v>
      </c>
      <c r="B10" s="2">
        <v>1</v>
      </c>
      <c r="C10" s="2" t="s">
        <v>1162</v>
      </c>
      <c r="D10" t="s">
        <v>1198</v>
      </c>
      <c r="E10" t="s">
        <v>1199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24"/>
  <sheetViews>
    <sheetView zoomScale="85" zoomScaleNormal="85" workbookViewId="0">
      <selection activeCell="A25" sqref="A25"/>
    </sheetView>
  </sheetViews>
  <sheetFormatPr defaultRowHeight="15" x14ac:dyDescent="0.25"/>
  <cols>
    <col min="1" max="1" width="7.140625" style="1" bestFit="1" customWidth="1" collapsed="1"/>
    <col min="2" max="2" width="9.140625" style="1" collapsed="1"/>
    <col min="3" max="3" width="11.5703125" style="1" bestFit="1" customWidth="1" collapsed="1"/>
    <col min="4" max="4" width="15.28515625" style="1" customWidth="1" collapsed="1"/>
    <col min="5" max="5" width="9.28515625" style="1" customWidth="1" collapsed="1"/>
    <col min="6" max="6" width="12.7109375" style="1" bestFit="1" customWidth="1" collapsed="1"/>
    <col min="7" max="7" width="11.28515625" style="1" bestFit="1" customWidth="1" collapsed="1"/>
    <col min="8" max="8" width="11.28515625" style="1" customWidth="1" collapsed="1"/>
    <col min="9" max="9" width="12.42578125" style="1" bestFit="1" customWidth="1" collapsed="1"/>
    <col min="10" max="10" width="14" style="1" bestFit="1" customWidth="1" collapsed="1"/>
    <col min="11" max="16384" width="9.140625" style="1" collapsed="1"/>
  </cols>
  <sheetData>
    <row r="1" spans="1:10" ht="15.75" customHeight="1" x14ac:dyDescent="0.25">
      <c r="A1" s="4" t="s">
        <v>0</v>
      </c>
      <c r="B1" s="18" t="s">
        <v>20</v>
      </c>
      <c r="C1" s="5" t="s">
        <v>49</v>
      </c>
      <c r="D1" s="5" t="s">
        <v>50</v>
      </c>
      <c r="E1" s="5" t="s">
        <v>118</v>
      </c>
      <c r="F1" s="5" t="s">
        <v>187</v>
      </c>
      <c r="G1" s="9" t="s">
        <v>176</v>
      </c>
      <c r="H1" s="9" t="s">
        <v>185</v>
      </c>
      <c r="I1" s="9" t="s">
        <v>174</v>
      </c>
      <c r="J1" s="9" t="s">
        <v>196</v>
      </c>
    </row>
    <row r="2" spans="1:10" x14ac:dyDescent="0.25">
      <c r="A2" s="2" t="s">
        <v>1</v>
      </c>
      <c r="B2" s="2">
        <v>1</v>
      </c>
      <c r="C2" s="2"/>
      <c r="D2" s="24"/>
      <c r="E2" s="2"/>
      <c r="F2" s="2" t="s">
        <v>3</v>
      </c>
      <c r="G2" s="2">
        <v>1234567890</v>
      </c>
      <c r="H2" s="25" t="s">
        <v>191</v>
      </c>
      <c r="I2" s="2"/>
      <c r="J2" s="2" t="s">
        <v>3</v>
      </c>
    </row>
    <row r="3" spans="1:10" x14ac:dyDescent="0.25">
      <c r="A3" s="2" t="s">
        <v>2</v>
      </c>
      <c r="B3" s="2">
        <v>1</v>
      </c>
      <c r="C3" s="2" t="s">
        <v>3</v>
      </c>
      <c r="D3" s="2"/>
      <c r="E3" s="2"/>
      <c r="F3" s="2"/>
      <c r="G3" s="2"/>
      <c r="H3" s="2"/>
      <c r="I3" s="2"/>
      <c r="J3" s="2"/>
    </row>
    <row r="4" spans="1:10" x14ac:dyDescent="0.25">
      <c r="A4" s="2" t="s">
        <v>16</v>
      </c>
      <c r="B4" s="2">
        <v>1</v>
      </c>
      <c r="C4" s="2"/>
      <c r="D4" s="24"/>
      <c r="E4" s="2"/>
      <c r="F4" s="2" t="s">
        <v>3</v>
      </c>
      <c r="G4" s="2">
        <v>1234567890</v>
      </c>
      <c r="H4" s="25" t="s">
        <v>191</v>
      </c>
      <c r="I4" s="2"/>
      <c r="J4" s="2" t="s">
        <v>3</v>
      </c>
    </row>
    <row r="5" spans="1:10" x14ac:dyDescent="0.25">
      <c r="A5" s="2" t="s">
        <v>691</v>
      </c>
      <c r="B5" s="2">
        <v>1</v>
      </c>
      <c r="C5" s="2"/>
      <c r="D5" s="24"/>
      <c r="E5" s="2"/>
      <c r="F5" s="2" t="s">
        <v>3</v>
      </c>
      <c r="G5" s="2">
        <v>1234567890</v>
      </c>
      <c r="H5" s="25" t="s">
        <v>191</v>
      </c>
      <c r="I5" s="2"/>
      <c r="J5" s="2" t="s">
        <v>3</v>
      </c>
    </row>
    <row r="6" spans="1:10" x14ac:dyDescent="0.25">
      <c r="A6" s="2" t="s">
        <v>333</v>
      </c>
      <c r="B6" s="2">
        <v>1</v>
      </c>
      <c r="C6" s="2"/>
      <c r="D6" s="24"/>
      <c r="E6" s="2"/>
      <c r="F6" s="2" t="s">
        <v>3</v>
      </c>
      <c r="G6" s="2">
        <v>1234567890</v>
      </c>
      <c r="H6" s="25" t="s">
        <v>191</v>
      </c>
      <c r="I6" s="2"/>
      <c r="J6" s="2" t="s">
        <v>3</v>
      </c>
    </row>
    <row r="7" spans="1:10" x14ac:dyDescent="0.25">
      <c r="A7" s="2" t="s">
        <v>335</v>
      </c>
      <c r="B7" s="2">
        <v>1</v>
      </c>
      <c r="C7" s="2"/>
      <c r="D7" s="24"/>
      <c r="E7" s="2"/>
      <c r="F7" s="2" t="s">
        <v>3</v>
      </c>
      <c r="G7" s="2">
        <v>1234567890</v>
      </c>
      <c r="H7" s="25" t="s">
        <v>191</v>
      </c>
      <c r="I7" s="2"/>
      <c r="J7" s="2" t="s">
        <v>3</v>
      </c>
    </row>
    <row r="8" spans="1:10" x14ac:dyDescent="0.25">
      <c r="A8" s="2" t="s">
        <v>338</v>
      </c>
      <c r="B8" s="2">
        <v>1</v>
      </c>
      <c r="C8" s="2"/>
      <c r="D8" s="24"/>
      <c r="E8" s="2"/>
      <c r="F8" s="2" t="s">
        <v>3</v>
      </c>
      <c r="G8" s="2">
        <v>1234567890</v>
      </c>
      <c r="H8" s="25" t="s">
        <v>191</v>
      </c>
      <c r="I8" s="2">
        <v>123456789</v>
      </c>
      <c r="J8" s="2" t="s">
        <v>3</v>
      </c>
    </row>
    <row r="9" spans="1:10" x14ac:dyDescent="0.25">
      <c r="A9" s="2" t="s">
        <v>395</v>
      </c>
      <c r="B9" s="2">
        <v>1</v>
      </c>
      <c r="C9" s="2"/>
      <c r="D9" s="24"/>
      <c r="E9" s="2"/>
      <c r="F9" s="2" t="s">
        <v>3</v>
      </c>
      <c r="G9" s="2">
        <v>1234567890</v>
      </c>
      <c r="H9" s="25" t="s">
        <v>191</v>
      </c>
      <c r="I9" s="2"/>
      <c r="J9" s="2" t="s">
        <v>3</v>
      </c>
    </row>
    <row r="10" spans="1:10" x14ac:dyDescent="0.25">
      <c r="A10" s="2" t="s">
        <v>630</v>
      </c>
      <c r="B10" s="2">
        <v>1</v>
      </c>
      <c r="C10" s="2"/>
      <c r="D10" s="24"/>
      <c r="E10" s="2"/>
      <c r="F10" s="2" t="s">
        <v>3</v>
      </c>
      <c r="G10" s="2">
        <v>1234567890</v>
      </c>
      <c r="H10" s="25" t="s">
        <v>191</v>
      </c>
      <c r="I10" s="2"/>
      <c r="J10" s="2" t="s">
        <v>3</v>
      </c>
    </row>
    <row r="11" spans="1:10" x14ac:dyDescent="0.25">
      <c r="A11" s="2" t="s">
        <v>415</v>
      </c>
      <c r="B11" s="2">
        <v>1</v>
      </c>
      <c r="C11" s="2"/>
      <c r="D11" s="24"/>
      <c r="E11" s="2"/>
      <c r="F11" s="2" t="s">
        <v>3</v>
      </c>
      <c r="G11" s="2">
        <v>1234567890</v>
      </c>
      <c r="H11" s="25" t="s">
        <v>191</v>
      </c>
      <c r="I11" s="2"/>
      <c r="J11" s="2" t="s">
        <v>3</v>
      </c>
    </row>
    <row r="12" spans="1:10" x14ac:dyDescent="0.25">
      <c r="A12" s="2" t="s">
        <v>536</v>
      </c>
      <c r="B12" s="2">
        <v>1</v>
      </c>
      <c r="C12" s="2"/>
      <c r="D12" s="24"/>
      <c r="E12" s="2"/>
      <c r="F12" s="2" t="s">
        <v>3</v>
      </c>
      <c r="G12" s="2">
        <v>1234567890</v>
      </c>
      <c r="H12" s="25" t="s">
        <v>191</v>
      </c>
      <c r="I12" s="2"/>
      <c r="J12" s="2" t="s">
        <v>3</v>
      </c>
    </row>
    <row r="13" spans="1:10" x14ac:dyDescent="0.25">
      <c r="A13" s="2" t="s">
        <v>603</v>
      </c>
      <c r="B13" s="2">
        <v>1</v>
      </c>
      <c r="C13" s="2"/>
      <c r="D13" s="24"/>
      <c r="E13" s="2"/>
      <c r="F13" s="2" t="s">
        <v>3</v>
      </c>
      <c r="G13" s="2">
        <v>1234567890</v>
      </c>
      <c r="H13" s="25" t="s">
        <v>191</v>
      </c>
      <c r="I13" s="2"/>
      <c r="J13" s="2" t="s">
        <v>3</v>
      </c>
    </row>
    <row r="14" spans="1:10" x14ac:dyDescent="0.25">
      <c r="A14" s="2" t="s">
        <v>735</v>
      </c>
      <c r="B14" s="2">
        <v>1</v>
      </c>
      <c r="C14" s="2"/>
      <c r="D14" s="24"/>
      <c r="E14" s="2"/>
      <c r="F14" s="2" t="s">
        <v>3</v>
      </c>
      <c r="G14" s="2">
        <v>1234567890</v>
      </c>
      <c r="H14" s="25" t="s">
        <v>191</v>
      </c>
      <c r="I14" s="2"/>
      <c r="J14" s="2" t="s">
        <v>3</v>
      </c>
    </row>
    <row r="15" spans="1:10" x14ac:dyDescent="0.25">
      <c r="A15" s="2" t="s">
        <v>849</v>
      </c>
      <c r="B15" s="2">
        <v>1</v>
      </c>
      <c r="C15" s="2"/>
      <c r="D15" s="24"/>
      <c r="E15" s="2"/>
      <c r="F15" s="2" t="s">
        <v>3</v>
      </c>
      <c r="G15" s="2">
        <v>1234567890</v>
      </c>
      <c r="H15" s="25" t="s">
        <v>191</v>
      </c>
      <c r="I15" s="2"/>
      <c r="J15" s="2" t="s">
        <v>3</v>
      </c>
    </row>
    <row r="16" spans="1:10" x14ac:dyDescent="0.25">
      <c r="A16" s="2" t="s">
        <v>864</v>
      </c>
      <c r="B16" s="2">
        <v>1</v>
      </c>
      <c r="C16" s="2"/>
      <c r="D16" s="24"/>
      <c r="E16" s="2"/>
      <c r="F16" s="2" t="s">
        <v>3</v>
      </c>
      <c r="G16" s="2">
        <v>1234567890</v>
      </c>
      <c r="H16" s="25" t="s">
        <v>191</v>
      </c>
      <c r="I16" s="2"/>
      <c r="J16" s="2" t="s">
        <v>3</v>
      </c>
    </row>
    <row r="17" spans="1:10" x14ac:dyDescent="0.25">
      <c r="A17" s="2" t="s">
        <v>868</v>
      </c>
      <c r="B17" s="2">
        <v>1</v>
      </c>
      <c r="C17" s="2"/>
      <c r="D17" s="24"/>
      <c r="E17" s="2"/>
      <c r="F17" s="2" t="s">
        <v>3</v>
      </c>
      <c r="G17" s="2">
        <v>1234567890</v>
      </c>
      <c r="H17" s="25" t="s">
        <v>191</v>
      </c>
      <c r="I17" s="2"/>
      <c r="J17" s="2" t="s">
        <v>3</v>
      </c>
    </row>
    <row r="18" spans="1:10" x14ac:dyDescent="0.25">
      <c r="A18" s="2" t="s">
        <v>869</v>
      </c>
      <c r="B18" s="2">
        <v>1</v>
      </c>
      <c r="C18" s="2"/>
      <c r="D18" s="24"/>
      <c r="E18" s="2"/>
      <c r="F18" s="2" t="s">
        <v>3</v>
      </c>
      <c r="G18" s="2">
        <v>1234567890</v>
      </c>
      <c r="H18" s="25" t="s">
        <v>191</v>
      </c>
      <c r="I18" s="2"/>
      <c r="J18" s="2" t="s">
        <v>3</v>
      </c>
    </row>
    <row r="19" spans="1:10" x14ac:dyDescent="0.25">
      <c r="A19" s="2" t="s">
        <v>879</v>
      </c>
      <c r="B19" s="2">
        <v>1</v>
      </c>
      <c r="C19" s="2"/>
      <c r="D19" s="24"/>
      <c r="E19" s="2"/>
      <c r="F19" s="2" t="s">
        <v>3</v>
      </c>
      <c r="G19" s="2">
        <v>1234567890</v>
      </c>
      <c r="H19" s="25" t="s">
        <v>191</v>
      </c>
      <c r="I19" s="2"/>
      <c r="J19" s="2" t="s">
        <v>3</v>
      </c>
    </row>
    <row r="20" spans="1:10" x14ac:dyDescent="0.25">
      <c r="A20" s="2" t="s">
        <v>751</v>
      </c>
      <c r="B20" s="2">
        <v>1</v>
      </c>
      <c r="C20" s="2"/>
      <c r="D20" s="24"/>
      <c r="E20" s="2"/>
      <c r="F20" s="2" t="s">
        <v>3</v>
      </c>
      <c r="G20" s="2">
        <v>1234567890</v>
      </c>
      <c r="H20" s="25" t="s">
        <v>191</v>
      </c>
      <c r="I20" s="2"/>
      <c r="J20" s="2" t="s">
        <v>3</v>
      </c>
    </row>
    <row r="21" spans="1:10" x14ac:dyDescent="0.25">
      <c r="A21" s="2" t="s">
        <v>752</v>
      </c>
      <c r="B21" s="2">
        <v>1</v>
      </c>
      <c r="C21" s="2"/>
      <c r="D21" s="24"/>
      <c r="E21" s="2"/>
      <c r="F21" s="2" t="s">
        <v>3</v>
      </c>
      <c r="G21" s="2">
        <v>1234567890</v>
      </c>
      <c r="H21" s="25" t="s">
        <v>191</v>
      </c>
      <c r="I21" s="2"/>
      <c r="J21" s="2" t="s">
        <v>3</v>
      </c>
    </row>
    <row r="22" spans="1:10" x14ac:dyDescent="0.25">
      <c r="A22" s="2" t="s">
        <v>917</v>
      </c>
      <c r="B22" s="2">
        <v>1</v>
      </c>
      <c r="C22" s="2"/>
      <c r="D22" s="24"/>
      <c r="E22" s="2"/>
      <c r="F22" s="2" t="s">
        <v>3</v>
      </c>
      <c r="G22" s="2">
        <v>1234567890</v>
      </c>
      <c r="H22" s="25" t="s">
        <v>191</v>
      </c>
      <c r="I22" s="2"/>
      <c r="J22" s="2" t="s">
        <v>3</v>
      </c>
    </row>
    <row r="23" spans="1:10" x14ac:dyDescent="0.25">
      <c r="A23" s="2" t="s">
        <v>918</v>
      </c>
      <c r="B23" s="2">
        <v>1</v>
      </c>
      <c r="C23" s="2"/>
      <c r="D23" s="24"/>
      <c r="E23" s="2"/>
      <c r="F23" s="2" t="s">
        <v>3</v>
      </c>
      <c r="G23" s="2">
        <v>1234567890</v>
      </c>
      <c r="H23" s="25" t="s">
        <v>191</v>
      </c>
      <c r="I23" s="2"/>
      <c r="J23" s="2" t="s">
        <v>3</v>
      </c>
    </row>
    <row r="24" spans="1:10" x14ac:dyDescent="0.25">
      <c r="A24" s="2" t="s">
        <v>1104</v>
      </c>
      <c r="B24" s="2">
        <v>1</v>
      </c>
      <c r="C24" s="2"/>
      <c r="D24" s="24"/>
      <c r="E24" s="2"/>
      <c r="F24" s="2" t="s">
        <v>3</v>
      </c>
      <c r="G24" s="2">
        <v>1234567890</v>
      </c>
      <c r="H24" s="25" t="s">
        <v>191</v>
      </c>
      <c r="I24" s="2"/>
      <c r="J24" s="2" t="s">
        <v>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7"/>
  <sheetViews>
    <sheetView zoomScale="85" zoomScaleNormal="85" workbookViewId="0">
      <selection activeCell="A8" sqref="A8"/>
    </sheetView>
  </sheetViews>
  <sheetFormatPr defaultRowHeight="15" x14ac:dyDescent="0.25"/>
  <cols>
    <col min="1" max="1" width="7.140625" style="1" bestFit="1" customWidth="1" collapsed="1"/>
    <col min="2" max="2" width="9.140625" style="1" collapsed="1"/>
    <col min="3" max="3" width="11.42578125" style="1" bestFit="1" customWidth="1" collapsed="1"/>
    <col min="4" max="4" width="20.85546875" style="1" bestFit="1" customWidth="1" collapsed="1"/>
    <col min="5" max="5" width="17.7109375" style="1" bestFit="1" customWidth="1" collapsed="1"/>
    <col min="6" max="6" width="21.42578125" style="1" bestFit="1" customWidth="1" collapsed="1"/>
    <col min="7" max="7" width="20" style="1" bestFit="1" customWidth="1" collapsed="1"/>
    <col min="8" max="8" width="23.7109375" style="1" bestFit="1" customWidth="1" collapsed="1"/>
    <col min="9" max="9" width="13.7109375" style="1" bestFit="1" customWidth="1" collapsed="1"/>
    <col min="10" max="10" width="10.140625" style="1" bestFit="1" customWidth="1" collapsed="1"/>
    <col min="11" max="13" width="10.140625" style="1" customWidth="1" collapsed="1"/>
    <col min="14" max="14" width="15.7109375" style="1" customWidth="1" collapsed="1"/>
    <col min="15" max="16384" width="9.140625" style="1" collapsed="1"/>
  </cols>
  <sheetData>
    <row r="1" spans="1:14" ht="15.75" customHeight="1" x14ac:dyDescent="0.25">
      <c r="A1" s="4" t="s">
        <v>0</v>
      </c>
      <c r="B1" s="18" t="s">
        <v>20</v>
      </c>
      <c r="C1" s="5" t="s">
        <v>180</v>
      </c>
      <c r="D1" s="9" t="s">
        <v>241</v>
      </c>
      <c r="E1" s="9" t="s">
        <v>242</v>
      </c>
      <c r="F1" s="9" t="s">
        <v>250</v>
      </c>
      <c r="G1" s="9" t="s">
        <v>248</v>
      </c>
      <c r="H1" s="9" t="s">
        <v>249</v>
      </c>
      <c r="I1" s="9" t="s">
        <v>243</v>
      </c>
      <c r="J1" s="9" t="s">
        <v>244</v>
      </c>
      <c r="K1" s="9" t="s">
        <v>1185</v>
      </c>
      <c r="L1" s="9" t="s">
        <v>1186</v>
      </c>
      <c r="M1" s="9" t="s">
        <v>1187</v>
      </c>
      <c r="N1" s="9" t="s">
        <v>246</v>
      </c>
    </row>
    <row r="2" spans="1:14" x14ac:dyDescent="0.25">
      <c r="A2" s="2" t="s">
        <v>339</v>
      </c>
      <c r="B2" s="2">
        <v>1</v>
      </c>
      <c r="C2" s="2" t="s">
        <v>3</v>
      </c>
      <c r="D2" s="2" t="s">
        <v>3</v>
      </c>
      <c r="E2" s="2" t="s">
        <v>3</v>
      </c>
      <c r="F2" s="2" t="s">
        <v>3</v>
      </c>
      <c r="G2" s="2"/>
      <c r="H2" s="2"/>
      <c r="I2" s="2" t="s">
        <v>256</v>
      </c>
      <c r="J2" s="2" t="s">
        <v>257</v>
      </c>
      <c r="K2" s="2" t="s">
        <v>3</v>
      </c>
      <c r="L2" s="2" t="s">
        <v>3</v>
      </c>
      <c r="M2" s="2" t="s">
        <v>3</v>
      </c>
      <c r="N2" s="2" t="s">
        <v>3</v>
      </c>
    </row>
    <row r="3" spans="1:14" x14ac:dyDescent="0.25">
      <c r="A3" s="2" t="s">
        <v>339</v>
      </c>
      <c r="B3" s="2">
        <v>2</v>
      </c>
      <c r="C3" s="2"/>
      <c r="D3" s="2" t="s">
        <v>3</v>
      </c>
      <c r="E3" s="2"/>
      <c r="F3" s="2"/>
      <c r="G3" s="2" t="s">
        <v>3</v>
      </c>
      <c r="H3" s="2" t="s">
        <v>3</v>
      </c>
      <c r="I3" s="2" t="s">
        <v>258</v>
      </c>
      <c r="J3" s="2" t="s">
        <v>257</v>
      </c>
      <c r="K3" s="2" t="s">
        <v>3</v>
      </c>
      <c r="L3" s="2" t="s">
        <v>3</v>
      </c>
      <c r="M3" s="2" t="s">
        <v>3</v>
      </c>
      <c r="N3" s="2" t="s">
        <v>3</v>
      </c>
    </row>
    <row r="4" spans="1:14" x14ac:dyDescent="0.25">
      <c r="A4" s="2" t="s">
        <v>340</v>
      </c>
      <c r="B4" s="2">
        <v>1</v>
      </c>
      <c r="C4" s="2" t="s">
        <v>3</v>
      </c>
      <c r="D4" s="2" t="s">
        <v>3</v>
      </c>
      <c r="E4" s="2" t="s">
        <v>3</v>
      </c>
      <c r="F4" s="2" t="s">
        <v>3</v>
      </c>
      <c r="G4" s="2"/>
      <c r="H4" s="2"/>
      <c r="I4" s="2" t="s">
        <v>259</v>
      </c>
      <c r="J4" s="2" t="s">
        <v>257</v>
      </c>
      <c r="K4" s="2" t="s">
        <v>3</v>
      </c>
      <c r="L4" s="2" t="s">
        <v>3</v>
      </c>
      <c r="M4" s="2" t="s">
        <v>3</v>
      </c>
      <c r="N4" s="2" t="s">
        <v>3</v>
      </c>
    </row>
    <row r="5" spans="1:14" x14ac:dyDescent="0.25">
      <c r="A5" s="2" t="s">
        <v>340</v>
      </c>
      <c r="B5" s="2">
        <v>2</v>
      </c>
      <c r="C5" s="2"/>
      <c r="D5" s="2" t="s">
        <v>3</v>
      </c>
      <c r="E5" s="2"/>
      <c r="F5" s="2"/>
      <c r="G5" s="2" t="s">
        <v>3</v>
      </c>
      <c r="H5" s="2" t="s">
        <v>3</v>
      </c>
      <c r="I5" s="2" t="s">
        <v>260</v>
      </c>
      <c r="J5" s="2" t="s">
        <v>257</v>
      </c>
      <c r="K5" s="2" t="s">
        <v>3</v>
      </c>
      <c r="L5" s="2" t="s">
        <v>3</v>
      </c>
      <c r="M5" s="2" t="s">
        <v>3</v>
      </c>
      <c r="N5" s="2" t="s">
        <v>3</v>
      </c>
    </row>
    <row r="6" spans="1:14" x14ac:dyDescent="0.25">
      <c r="A6" s="2" t="s">
        <v>1189</v>
      </c>
      <c r="B6" s="2">
        <v>1</v>
      </c>
      <c r="C6" s="2" t="s">
        <v>3</v>
      </c>
      <c r="D6" s="2" t="s">
        <v>3</v>
      </c>
      <c r="E6" s="2" t="s">
        <v>3</v>
      </c>
      <c r="F6" s="2" t="s">
        <v>3</v>
      </c>
      <c r="G6" s="2"/>
      <c r="H6" s="2"/>
      <c r="I6" s="2" t="s">
        <v>256</v>
      </c>
      <c r="J6" s="2" t="s">
        <v>257</v>
      </c>
      <c r="K6" s="2" t="s">
        <v>3</v>
      </c>
      <c r="L6" s="2" t="s">
        <v>3</v>
      </c>
      <c r="M6" s="2" t="s">
        <v>3</v>
      </c>
      <c r="N6" s="2" t="s">
        <v>3</v>
      </c>
    </row>
    <row r="7" spans="1:14" x14ac:dyDescent="0.25">
      <c r="A7" s="2" t="s">
        <v>1189</v>
      </c>
      <c r="B7" s="2">
        <v>2</v>
      </c>
      <c r="C7" s="2"/>
      <c r="D7" s="2" t="s">
        <v>3</v>
      </c>
      <c r="E7" s="2"/>
      <c r="F7" s="2"/>
      <c r="G7" s="2" t="s">
        <v>3</v>
      </c>
      <c r="H7" s="2" t="s">
        <v>3</v>
      </c>
      <c r="I7" s="2" t="s">
        <v>258</v>
      </c>
      <c r="J7" s="2" t="s">
        <v>257</v>
      </c>
      <c r="K7" s="2" t="s">
        <v>3</v>
      </c>
      <c r="L7" s="2" t="s">
        <v>3</v>
      </c>
      <c r="M7" s="2" t="s">
        <v>3</v>
      </c>
      <c r="N7" s="2" t="s">
        <v>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33"/>
  <sheetViews>
    <sheetView topLeftCell="A16" zoomScale="85" zoomScaleNormal="85" workbookViewId="0">
      <selection activeCell="E34" sqref="E34"/>
    </sheetView>
  </sheetViews>
  <sheetFormatPr defaultRowHeight="15" x14ac:dyDescent="0.25"/>
  <cols>
    <col min="1" max="1" width="7.140625" style="1" bestFit="1" customWidth="1" collapsed="1"/>
    <col min="2" max="2" width="8.7109375" style="1" bestFit="1" customWidth="1" collapsed="1"/>
    <col min="3" max="3" width="17.42578125" style="1" bestFit="1" customWidth="1" collapsed="1"/>
    <col min="4" max="4" width="23.140625" style="1" bestFit="1" customWidth="1" collapsed="1"/>
    <col min="5" max="5" width="29" style="1" bestFit="1" customWidth="1" collapsed="1"/>
    <col min="6" max="6" width="20.7109375" style="1" bestFit="1" customWidth="1" collapsed="1"/>
    <col min="7" max="7" width="32.42578125" style="1" bestFit="1" customWidth="1" collapsed="1"/>
    <col min="8" max="8" width="30.7109375" style="1" bestFit="1" customWidth="1" collapsed="1"/>
    <col min="9" max="16384" width="9.140625" style="1" collapsed="1"/>
  </cols>
  <sheetData>
    <row r="1" spans="1:10" x14ac:dyDescent="0.25">
      <c r="A1" s="9" t="s">
        <v>0</v>
      </c>
      <c r="B1" s="5" t="s">
        <v>20</v>
      </c>
      <c r="C1" s="5" t="s">
        <v>25</v>
      </c>
      <c r="D1" s="5" t="s">
        <v>26</v>
      </c>
      <c r="E1" s="5" t="s">
        <v>24</v>
      </c>
      <c r="F1" s="5" t="s">
        <v>27</v>
      </c>
      <c r="G1" s="5" t="s">
        <v>28</v>
      </c>
      <c r="H1" s="9" t="s">
        <v>29</v>
      </c>
      <c r="I1" s="3"/>
      <c r="J1" s="3"/>
    </row>
    <row r="2" spans="1:10" x14ac:dyDescent="0.25">
      <c r="A2" s="2" t="s">
        <v>1</v>
      </c>
      <c r="B2" s="6">
        <v>1</v>
      </c>
      <c r="C2" s="6" t="s">
        <v>3</v>
      </c>
      <c r="D2" s="6" t="s">
        <v>3</v>
      </c>
      <c r="E2" s="11" t="s">
        <v>584</v>
      </c>
      <c r="F2" s="6" t="s">
        <v>3</v>
      </c>
      <c r="G2" s="6" t="s">
        <v>3</v>
      </c>
      <c r="H2" s="6"/>
    </row>
    <row r="3" spans="1:10" x14ac:dyDescent="0.25">
      <c r="A3" s="2" t="s">
        <v>2</v>
      </c>
      <c r="B3" s="6">
        <v>1</v>
      </c>
      <c r="C3" s="6" t="s">
        <v>3</v>
      </c>
      <c r="D3" s="6" t="s">
        <v>3</v>
      </c>
      <c r="E3" s="11" t="s">
        <v>585</v>
      </c>
      <c r="F3" s="6" t="s">
        <v>3</v>
      </c>
      <c r="G3" s="6" t="s">
        <v>3</v>
      </c>
      <c r="H3" s="6"/>
    </row>
    <row r="4" spans="1:10" x14ac:dyDescent="0.25">
      <c r="A4" s="2" t="s">
        <v>16</v>
      </c>
      <c r="B4" s="6">
        <v>1</v>
      </c>
      <c r="C4" s="6" t="s">
        <v>3</v>
      </c>
      <c r="D4" s="6" t="s">
        <v>3</v>
      </c>
      <c r="E4" s="11" t="s">
        <v>78</v>
      </c>
      <c r="F4" s="6" t="s">
        <v>3</v>
      </c>
      <c r="G4" s="6" t="s">
        <v>3</v>
      </c>
      <c r="H4" s="6"/>
    </row>
    <row r="5" spans="1:10" x14ac:dyDescent="0.25">
      <c r="A5" s="2" t="s">
        <v>691</v>
      </c>
      <c r="B5" s="6">
        <v>1</v>
      </c>
      <c r="C5" s="6" t="s">
        <v>3</v>
      </c>
      <c r="D5" s="6" t="s">
        <v>3</v>
      </c>
      <c r="E5" s="11" t="s">
        <v>692</v>
      </c>
      <c r="F5" s="6" t="s">
        <v>3</v>
      </c>
      <c r="G5" s="6" t="s">
        <v>3</v>
      </c>
      <c r="H5" s="6"/>
    </row>
    <row r="6" spans="1:10" x14ac:dyDescent="0.25">
      <c r="A6" s="2" t="s">
        <v>333</v>
      </c>
      <c r="B6" s="6">
        <v>1</v>
      </c>
      <c r="C6" s="6" t="s">
        <v>3</v>
      </c>
      <c r="D6" s="6" t="s">
        <v>3</v>
      </c>
      <c r="E6" s="11" t="s">
        <v>78</v>
      </c>
      <c r="F6" s="6" t="s">
        <v>3</v>
      </c>
      <c r="G6" s="6" t="s">
        <v>3</v>
      </c>
      <c r="H6" s="6"/>
    </row>
    <row r="7" spans="1:10" x14ac:dyDescent="0.25">
      <c r="A7" s="2" t="s">
        <v>335</v>
      </c>
      <c r="B7" s="6">
        <v>1</v>
      </c>
      <c r="C7" s="6" t="s">
        <v>3</v>
      </c>
      <c r="D7" s="6" t="s">
        <v>3</v>
      </c>
      <c r="E7" s="11" t="s">
        <v>78</v>
      </c>
      <c r="F7" s="6" t="s">
        <v>3</v>
      </c>
      <c r="G7" s="6" t="s">
        <v>3</v>
      </c>
      <c r="H7" s="6"/>
    </row>
    <row r="8" spans="1:10" x14ac:dyDescent="0.25">
      <c r="A8" s="2" t="s">
        <v>337</v>
      </c>
      <c r="B8" s="6">
        <v>1</v>
      </c>
      <c r="C8" s="6" t="s">
        <v>3</v>
      </c>
      <c r="D8" s="6" t="s">
        <v>3</v>
      </c>
      <c r="E8" s="11" t="s">
        <v>78</v>
      </c>
      <c r="F8" s="6" t="s">
        <v>3</v>
      </c>
      <c r="G8" s="6" t="s">
        <v>3</v>
      </c>
      <c r="H8" s="6"/>
    </row>
    <row r="9" spans="1:10" x14ac:dyDescent="0.25">
      <c r="A9" s="2" t="s">
        <v>338</v>
      </c>
      <c r="B9" s="6">
        <v>1</v>
      </c>
      <c r="C9" s="6" t="s">
        <v>3</v>
      </c>
      <c r="D9" s="6" t="s">
        <v>3</v>
      </c>
      <c r="E9" s="11" t="s">
        <v>78</v>
      </c>
      <c r="F9" s="6" t="s">
        <v>3</v>
      </c>
      <c r="G9" s="6" t="s">
        <v>3</v>
      </c>
      <c r="H9" s="6"/>
    </row>
    <row r="10" spans="1:10" x14ac:dyDescent="0.25">
      <c r="A10" s="2" t="s">
        <v>346</v>
      </c>
      <c r="B10" s="6">
        <v>1</v>
      </c>
      <c r="C10" s="6" t="s">
        <v>3</v>
      </c>
      <c r="D10" s="6" t="s">
        <v>3</v>
      </c>
      <c r="E10" s="11" t="s">
        <v>351</v>
      </c>
      <c r="F10" s="6" t="s">
        <v>3</v>
      </c>
      <c r="G10" s="6" t="s">
        <v>3</v>
      </c>
      <c r="H10" s="6"/>
    </row>
    <row r="11" spans="1:10" x14ac:dyDescent="0.25">
      <c r="A11" s="2" t="s">
        <v>347</v>
      </c>
      <c r="B11" s="6">
        <v>1</v>
      </c>
      <c r="C11" s="6" t="s">
        <v>3</v>
      </c>
      <c r="D11" s="6" t="s">
        <v>3</v>
      </c>
      <c r="E11" s="11" t="s">
        <v>352</v>
      </c>
      <c r="F11" s="6" t="s">
        <v>3</v>
      </c>
      <c r="G11" s="6" t="s">
        <v>3</v>
      </c>
      <c r="H11" s="6"/>
    </row>
    <row r="12" spans="1:10" x14ac:dyDescent="0.25">
      <c r="A12" s="2" t="s">
        <v>339</v>
      </c>
      <c r="B12" s="6">
        <v>1</v>
      </c>
      <c r="C12" s="6" t="s">
        <v>3</v>
      </c>
      <c r="D12" s="6" t="s">
        <v>3</v>
      </c>
      <c r="E12" s="11" t="s">
        <v>343</v>
      </c>
      <c r="F12" s="6" t="s">
        <v>3</v>
      </c>
      <c r="G12" s="6" t="s">
        <v>3</v>
      </c>
      <c r="H12" s="6"/>
    </row>
    <row r="13" spans="1:10" x14ac:dyDescent="0.25">
      <c r="A13" s="2" t="s">
        <v>340</v>
      </c>
      <c r="B13" s="6">
        <v>1</v>
      </c>
      <c r="C13" s="6" t="s">
        <v>3</v>
      </c>
      <c r="D13" s="6" t="s">
        <v>3</v>
      </c>
      <c r="E13" s="11" t="s">
        <v>344</v>
      </c>
      <c r="F13" s="6" t="s">
        <v>3</v>
      </c>
      <c r="G13" s="6" t="s">
        <v>3</v>
      </c>
      <c r="H13" s="6"/>
    </row>
    <row r="14" spans="1:10" x14ac:dyDescent="0.25">
      <c r="A14" s="2" t="s">
        <v>1189</v>
      </c>
      <c r="B14" s="6">
        <v>1</v>
      </c>
      <c r="C14" s="6" t="s">
        <v>3</v>
      </c>
      <c r="D14" s="6" t="s">
        <v>3</v>
      </c>
      <c r="E14" s="11" t="s">
        <v>344</v>
      </c>
      <c r="F14" s="6" t="s">
        <v>3</v>
      </c>
      <c r="G14" s="6" t="s">
        <v>3</v>
      </c>
      <c r="H14" s="6"/>
    </row>
    <row r="15" spans="1:10" x14ac:dyDescent="0.25">
      <c r="A15" s="2" t="s">
        <v>353</v>
      </c>
      <c r="B15" s="6">
        <v>1</v>
      </c>
      <c r="C15" s="6" t="s">
        <v>3</v>
      </c>
      <c r="D15" s="6" t="s">
        <v>3</v>
      </c>
      <c r="E15" s="11" t="s">
        <v>344</v>
      </c>
      <c r="F15" s="6" t="s">
        <v>3</v>
      </c>
      <c r="G15" s="6" t="s">
        <v>3</v>
      </c>
      <c r="H15" s="6"/>
    </row>
    <row r="16" spans="1:10" x14ac:dyDescent="0.25">
      <c r="A16" s="2" t="s">
        <v>395</v>
      </c>
      <c r="B16" s="6">
        <v>1</v>
      </c>
      <c r="C16" s="6" t="s">
        <v>3</v>
      </c>
      <c r="D16" s="6" t="s">
        <v>3</v>
      </c>
      <c r="E16" s="11" t="s">
        <v>388</v>
      </c>
      <c r="F16" s="6" t="s">
        <v>3</v>
      </c>
      <c r="G16" s="6" t="s">
        <v>3</v>
      </c>
      <c r="H16" s="6"/>
    </row>
    <row r="17" spans="1:8" x14ac:dyDescent="0.25">
      <c r="A17" s="2" t="s">
        <v>630</v>
      </c>
      <c r="B17" s="6">
        <v>1</v>
      </c>
      <c r="C17" s="6" t="s">
        <v>3</v>
      </c>
      <c r="D17" s="6" t="s">
        <v>3</v>
      </c>
      <c r="E17" s="11" t="s">
        <v>388</v>
      </c>
      <c r="F17" s="6" t="s">
        <v>3</v>
      </c>
      <c r="G17" s="6" t="s">
        <v>3</v>
      </c>
      <c r="H17" s="6"/>
    </row>
    <row r="18" spans="1:8" x14ac:dyDescent="0.25">
      <c r="A18" s="2" t="s">
        <v>415</v>
      </c>
      <c r="B18" s="6">
        <v>1</v>
      </c>
      <c r="C18" s="6" t="s">
        <v>3</v>
      </c>
      <c r="D18" s="6" t="s">
        <v>3</v>
      </c>
      <c r="E18" s="11" t="s">
        <v>356</v>
      </c>
      <c r="F18" s="6" t="s">
        <v>3</v>
      </c>
      <c r="G18" s="6" t="s">
        <v>3</v>
      </c>
      <c r="H18" s="6"/>
    </row>
    <row r="19" spans="1:8" x14ac:dyDescent="0.25">
      <c r="A19" s="2" t="s">
        <v>491</v>
      </c>
      <c r="B19" s="6">
        <v>1</v>
      </c>
      <c r="C19" s="6" t="s">
        <v>3</v>
      </c>
      <c r="D19" s="6" t="s">
        <v>3</v>
      </c>
      <c r="E19" s="11" t="s">
        <v>356</v>
      </c>
      <c r="F19" s="6" t="s">
        <v>3</v>
      </c>
      <c r="G19" s="6" t="s">
        <v>3</v>
      </c>
      <c r="H19" s="6"/>
    </row>
    <row r="20" spans="1:8" x14ac:dyDescent="0.25">
      <c r="A20" s="2" t="s">
        <v>1019</v>
      </c>
      <c r="B20" s="6">
        <v>1</v>
      </c>
      <c r="C20" s="6" t="s">
        <v>3</v>
      </c>
      <c r="D20" s="6" t="s">
        <v>3</v>
      </c>
      <c r="E20" s="11" t="s">
        <v>1021</v>
      </c>
      <c r="F20" s="6" t="s">
        <v>3</v>
      </c>
      <c r="G20" s="6" t="s">
        <v>3</v>
      </c>
      <c r="H20" s="6"/>
    </row>
    <row r="21" spans="1:8" x14ac:dyDescent="0.25">
      <c r="A21" s="2" t="s">
        <v>536</v>
      </c>
      <c r="B21" s="6">
        <v>1</v>
      </c>
      <c r="C21" s="6" t="s">
        <v>3</v>
      </c>
      <c r="D21" s="6" t="s">
        <v>3</v>
      </c>
      <c r="E21" s="11" t="s">
        <v>614</v>
      </c>
      <c r="F21" s="6" t="s">
        <v>3</v>
      </c>
      <c r="G21" s="6" t="s">
        <v>3</v>
      </c>
      <c r="H21" s="6"/>
    </row>
    <row r="22" spans="1:8" x14ac:dyDescent="0.25">
      <c r="A22" s="2" t="s">
        <v>603</v>
      </c>
      <c r="B22" s="6">
        <v>1</v>
      </c>
      <c r="C22" s="6" t="s">
        <v>3</v>
      </c>
      <c r="D22" s="6" t="s">
        <v>3</v>
      </c>
      <c r="E22" s="11" t="s">
        <v>896</v>
      </c>
      <c r="F22" s="6" t="s">
        <v>3</v>
      </c>
      <c r="G22" s="6" t="s">
        <v>3</v>
      </c>
      <c r="H22" s="6"/>
    </row>
    <row r="23" spans="1:8" x14ac:dyDescent="0.25">
      <c r="A23" s="2" t="s">
        <v>735</v>
      </c>
      <c r="B23" s="6">
        <v>1</v>
      </c>
      <c r="C23" s="6" t="s">
        <v>3</v>
      </c>
      <c r="D23" s="6" t="s">
        <v>3</v>
      </c>
      <c r="E23" s="11" t="s">
        <v>716</v>
      </c>
      <c r="F23" s="6" t="s">
        <v>3</v>
      </c>
      <c r="G23" s="6" t="s">
        <v>3</v>
      </c>
      <c r="H23" s="6"/>
    </row>
    <row r="24" spans="1:8" x14ac:dyDescent="0.25">
      <c r="A24" s="2" t="s">
        <v>849</v>
      </c>
      <c r="B24" s="6">
        <v>1</v>
      </c>
      <c r="C24" s="6" t="s">
        <v>3</v>
      </c>
      <c r="D24" s="6" t="s">
        <v>3</v>
      </c>
      <c r="E24" s="11" t="s">
        <v>850</v>
      </c>
      <c r="F24" s="6" t="s">
        <v>3</v>
      </c>
      <c r="G24" s="6" t="s">
        <v>3</v>
      </c>
      <c r="H24" s="6"/>
    </row>
    <row r="25" spans="1:8" x14ac:dyDescent="0.25">
      <c r="A25" s="2" t="s">
        <v>864</v>
      </c>
      <c r="B25" s="6">
        <v>1</v>
      </c>
      <c r="C25" s="6" t="s">
        <v>3</v>
      </c>
      <c r="D25" s="6" t="s">
        <v>3</v>
      </c>
      <c r="E25" s="11" t="s">
        <v>865</v>
      </c>
      <c r="F25" s="6" t="s">
        <v>3</v>
      </c>
      <c r="G25" s="6" t="s">
        <v>3</v>
      </c>
      <c r="H25" s="6"/>
    </row>
    <row r="26" spans="1:8" x14ac:dyDescent="0.25">
      <c r="A26" s="2" t="s">
        <v>868</v>
      </c>
      <c r="B26" s="6">
        <v>1</v>
      </c>
      <c r="C26" s="6" t="s">
        <v>3</v>
      </c>
      <c r="D26" s="6" t="s">
        <v>3</v>
      </c>
      <c r="E26" s="11" t="s">
        <v>870</v>
      </c>
      <c r="F26" s="6" t="s">
        <v>3</v>
      </c>
      <c r="G26" s="6" t="s">
        <v>3</v>
      </c>
      <c r="H26" s="6"/>
    </row>
    <row r="27" spans="1:8" x14ac:dyDescent="0.25">
      <c r="A27" s="2" t="s">
        <v>869</v>
      </c>
      <c r="B27" s="6">
        <v>1</v>
      </c>
      <c r="C27" s="6" t="s">
        <v>3</v>
      </c>
      <c r="D27" s="6" t="s">
        <v>3</v>
      </c>
      <c r="E27" s="11" t="s">
        <v>871</v>
      </c>
      <c r="F27" s="6" t="s">
        <v>3</v>
      </c>
      <c r="G27" s="6" t="s">
        <v>3</v>
      </c>
      <c r="H27" s="6"/>
    </row>
    <row r="28" spans="1:8" x14ac:dyDescent="0.25">
      <c r="A28" s="2" t="s">
        <v>879</v>
      </c>
      <c r="B28" s="6">
        <v>1</v>
      </c>
      <c r="C28" s="6" t="s">
        <v>3</v>
      </c>
      <c r="D28" s="6" t="s">
        <v>3</v>
      </c>
      <c r="E28" s="11" t="s">
        <v>884</v>
      </c>
      <c r="F28" s="6" t="s">
        <v>3</v>
      </c>
      <c r="G28" s="6" t="s">
        <v>3</v>
      </c>
      <c r="H28" s="6"/>
    </row>
    <row r="29" spans="1:8" x14ac:dyDescent="0.25">
      <c r="A29" s="2" t="s">
        <v>751</v>
      </c>
      <c r="B29" s="6">
        <v>1</v>
      </c>
      <c r="C29" s="6" t="s">
        <v>3</v>
      </c>
      <c r="D29" s="6" t="s">
        <v>3</v>
      </c>
      <c r="E29" s="11" t="s">
        <v>897</v>
      </c>
      <c r="F29" s="6" t="s">
        <v>3</v>
      </c>
      <c r="G29" s="6" t="s">
        <v>3</v>
      </c>
      <c r="H29" s="6"/>
    </row>
    <row r="30" spans="1:8" x14ac:dyDescent="0.25">
      <c r="A30" s="2" t="s">
        <v>752</v>
      </c>
      <c r="B30" s="6">
        <v>1</v>
      </c>
      <c r="C30" s="6" t="s">
        <v>3</v>
      </c>
      <c r="D30" s="6" t="s">
        <v>3</v>
      </c>
      <c r="E30" s="55" t="s">
        <v>1007</v>
      </c>
      <c r="F30" s="6" t="s">
        <v>3</v>
      </c>
      <c r="G30" s="6" t="s">
        <v>3</v>
      </c>
      <c r="H30" s="6"/>
    </row>
    <row r="31" spans="1:8" x14ac:dyDescent="0.25">
      <c r="A31" s="2" t="s">
        <v>917</v>
      </c>
      <c r="B31" s="6">
        <v>1</v>
      </c>
      <c r="C31" s="6" t="s">
        <v>3</v>
      </c>
      <c r="D31" s="6" t="s">
        <v>3</v>
      </c>
      <c r="E31" s="55" t="s">
        <v>1040</v>
      </c>
      <c r="F31" s="6" t="s">
        <v>3</v>
      </c>
      <c r="G31" s="6" t="s">
        <v>3</v>
      </c>
      <c r="H31" s="6"/>
    </row>
    <row r="32" spans="1:8" x14ac:dyDescent="0.25">
      <c r="A32" s="2" t="s">
        <v>918</v>
      </c>
      <c r="B32" s="6">
        <v>1</v>
      </c>
      <c r="C32" s="6" t="s">
        <v>3</v>
      </c>
      <c r="D32" s="6" t="s">
        <v>3</v>
      </c>
      <c r="E32" s="55" t="s">
        <v>1083</v>
      </c>
      <c r="F32" s="6" t="s">
        <v>3</v>
      </c>
      <c r="G32" s="6" t="s">
        <v>3</v>
      </c>
      <c r="H32" s="6"/>
    </row>
    <row r="33" spans="1:8" x14ac:dyDescent="0.25">
      <c r="A33" s="2" t="s">
        <v>1104</v>
      </c>
      <c r="B33" s="6">
        <v>1</v>
      </c>
      <c r="C33" s="6" t="s">
        <v>3</v>
      </c>
      <c r="D33" s="6" t="s">
        <v>3</v>
      </c>
      <c r="E33" s="55" t="s">
        <v>1191</v>
      </c>
      <c r="F33" s="6" t="s">
        <v>3</v>
      </c>
      <c r="G33" s="6" t="s">
        <v>3</v>
      </c>
      <c r="H33" s="6"/>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X33"/>
  <sheetViews>
    <sheetView zoomScale="98" zoomScaleNormal="98" workbookViewId="0">
      <selection activeCell="F4" sqref="F4"/>
    </sheetView>
  </sheetViews>
  <sheetFormatPr defaultRowHeight="15" x14ac:dyDescent="0.25"/>
  <cols>
    <col min="1" max="1" width="8.5703125" style="1" bestFit="1" customWidth="1" collapsed="1"/>
    <col min="2" max="2" width="11.140625" style="1" bestFit="1" customWidth="1" collapsed="1"/>
    <col min="3" max="3" width="20.140625" style="1" bestFit="1" customWidth="1" collapsed="1"/>
    <col min="4" max="5" width="16.85546875" style="1" bestFit="1" customWidth="1" collapsed="1"/>
    <col min="6" max="6" width="24" style="1" bestFit="1" customWidth="1" collapsed="1"/>
    <col min="7" max="7" width="9.5703125" style="1" bestFit="1" customWidth="1" collapsed="1"/>
    <col min="8" max="8" width="12.5703125" style="1" bestFit="1" customWidth="1" collapsed="1"/>
    <col min="9" max="9" width="13" style="1" bestFit="1" customWidth="1" collapsed="1"/>
    <col min="10" max="10" width="14.5703125" style="1" bestFit="1" customWidth="1" collapsed="1"/>
    <col min="11" max="11" width="13.85546875" style="1" bestFit="1" customWidth="1" collapsed="1"/>
    <col min="12" max="12" width="19.28515625" style="1" bestFit="1" customWidth="1" collapsed="1"/>
    <col min="13" max="13" width="14" style="1" bestFit="1" customWidth="1" collapsed="1"/>
    <col min="14" max="14" width="17.7109375" style="1" bestFit="1" customWidth="1" collapsed="1"/>
    <col min="15" max="15" width="26.85546875" style="1" bestFit="1" customWidth="1" collapsed="1"/>
    <col min="16" max="16" width="22.140625" style="1" bestFit="1" customWidth="1" collapsed="1"/>
    <col min="17" max="17" width="26.28515625" style="1" bestFit="1" customWidth="1" collapsed="1"/>
    <col min="18" max="18" width="21" style="1" bestFit="1" customWidth="1" collapsed="1"/>
    <col min="19" max="19" width="19.140625" style="1" bestFit="1" customWidth="1" collapsed="1"/>
    <col min="20" max="20" width="10.28515625" style="1" bestFit="1" customWidth="1" collapsed="1"/>
    <col min="21" max="21" width="13.42578125" style="1" bestFit="1" customWidth="1" collapsed="1"/>
    <col min="22" max="22" width="13.5703125" style="1" bestFit="1" customWidth="1" collapsed="1"/>
    <col min="23" max="23" width="10" style="1" bestFit="1" customWidth="1" collapsed="1"/>
    <col min="24" max="24" width="25.85546875" style="1" bestFit="1" customWidth="1" collapsed="1"/>
    <col min="25" max="16384" width="9.140625" style="1" collapsed="1"/>
  </cols>
  <sheetData>
    <row r="1" spans="1:24" x14ac:dyDescent="0.25">
      <c r="A1" s="9" t="s">
        <v>0</v>
      </c>
      <c r="B1" s="5" t="s">
        <v>20</v>
      </c>
      <c r="C1" s="5" t="s">
        <v>48</v>
      </c>
      <c r="D1" s="5" t="s">
        <v>41</v>
      </c>
      <c r="E1" s="5" t="s">
        <v>42</v>
      </c>
      <c r="F1" s="5" t="s">
        <v>43</v>
      </c>
      <c r="G1" s="5" t="s">
        <v>95</v>
      </c>
      <c r="H1" s="5" t="s">
        <v>1158</v>
      </c>
      <c r="I1" s="5" t="s">
        <v>44</v>
      </c>
      <c r="J1" s="5" t="s">
        <v>94</v>
      </c>
      <c r="K1" s="5" t="s">
        <v>1159</v>
      </c>
      <c r="L1" s="9" t="s">
        <v>45</v>
      </c>
      <c r="M1" s="10" t="s">
        <v>46</v>
      </c>
      <c r="N1" s="10" t="s">
        <v>47</v>
      </c>
      <c r="O1" s="10" t="s">
        <v>51</v>
      </c>
      <c r="P1" s="10" t="s">
        <v>37</v>
      </c>
      <c r="Q1" s="10" t="s">
        <v>38</v>
      </c>
      <c r="R1" s="10" t="s">
        <v>39</v>
      </c>
      <c r="S1" s="10" t="s">
        <v>97</v>
      </c>
      <c r="T1" s="10" t="s">
        <v>633</v>
      </c>
      <c r="U1" s="10" t="s">
        <v>40</v>
      </c>
      <c r="V1" s="10" t="s">
        <v>193</v>
      </c>
      <c r="W1" s="10" t="s">
        <v>98</v>
      </c>
      <c r="X1" s="10" t="s">
        <v>695</v>
      </c>
    </row>
    <row r="2" spans="1:24" x14ac:dyDescent="0.25">
      <c r="A2" s="2" t="s">
        <v>1</v>
      </c>
      <c r="B2" s="6">
        <v>1</v>
      </c>
      <c r="C2" t="s">
        <v>1200</v>
      </c>
      <c r="D2"/>
      <c r="E2"/>
      <c r="F2" s="6" t="s">
        <v>186</v>
      </c>
      <c r="G2" s="11" t="s">
        <v>3</v>
      </c>
      <c r="H2" s="6" t="s">
        <v>1156</v>
      </c>
      <c r="I2" s="6" t="s">
        <v>33</v>
      </c>
      <c r="J2" t="s">
        <v>3</v>
      </c>
      <c r="K2" s="11" t="s">
        <v>34</v>
      </c>
      <c r="L2"/>
      <c r="M2" s="6" t="s">
        <v>35</v>
      </c>
      <c r="N2" s="6" t="s">
        <v>3</v>
      </c>
      <c r="O2" s="6" t="s">
        <v>96</v>
      </c>
      <c r="P2" s="6" t="s">
        <v>3</v>
      </c>
      <c r="Q2" s="6" t="s">
        <v>3</v>
      </c>
      <c r="R2"/>
      <c r="S2" s="6" t="s">
        <v>3</v>
      </c>
      <c r="T2"/>
      <c r="U2" s="6" t="s">
        <v>3</v>
      </c>
      <c r="V2"/>
      <c r="W2" s="6" t="s">
        <v>3</v>
      </c>
      <c r="X2" s="6" t="s">
        <v>3</v>
      </c>
    </row>
    <row r="3" spans="1:24" x14ac:dyDescent="0.25">
      <c r="A3" s="2" t="s">
        <v>2</v>
      </c>
      <c r="B3" s="6">
        <v>1</v>
      </c>
      <c r="C3"/>
      <c r="D3"/>
      <c r="E3"/>
      <c r="F3"/>
      <c r="G3" s="11" t="s">
        <v>3</v>
      </c>
      <c r="H3" s="6" t="s">
        <v>32</v>
      </c>
      <c r="I3" s="6" t="s">
        <v>33</v>
      </c>
      <c r="J3"/>
      <c r="K3"/>
      <c r="L3"/>
      <c r="M3"/>
      <c r="N3"/>
      <c r="O3"/>
      <c r="P3"/>
      <c r="Q3"/>
      <c r="R3"/>
      <c r="S3"/>
      <c r="T3"/>
      <c r="U3"/>
      <c r="V3"/>
      <c r="W3"/>
      <c r="X3"/>
    </row>
    <row r="4" spans="1:24" x14ac:dyDescent="0.25">
      <c r="A4" s="2" t="s">
        <v>16</v>
      </c>
      <c r="B4" s="6">
        <v>1</v>
      </c>
      <c r="C4" t="s">
        <v>1033</v>
      </c>
      <c r="D4"/>
      <c r="E4"/>
      <c r="F4" s="6" t="s">
        <v>186</v>
      </c>
      <c r="G4" s="11" t="s">
        <v>3</v>
      </c>
      <c r="H4" s="6" t="s">
        <v>1156</v>
      </c>
      <c r="I4" s="6" t="s">
        <v>33</v>
      </c>
      <c r="J4" t="s">
        <v>3</v>
      </c>
      <c r="K4" s="11" t="s">
        <v>34</v>
      </c>
      <c r="L4"/>
      <c r="M4" s="6" t="s">
        <v>35</v>
      </c>
      <c r="N4" s="6" t="s">
        <v>3</v>
      </c>
      <c r="O4" s="6" t="s">
        <v>96</v>
      </c>
      <c r="P4" s="6" t="s">
        <v>3</v>
      </c>
      <c r="Q4" s="6" t="s">
        <v>3</v>
      </c>
      <c r="R4"/>
      <c r="S4" s="6" t="s">
        <v>3</v>
      </c>
      <c r="T4"/>
      <c r="U4" s="6" t="s">
        <v>3</v>
      </c>
      <c r="V4"/>
      <c r="W4" s="6" t="s">
        <v>3</v>
      </c>
      <c r="X4" s="6" t="s">
        <v>3</v>
      </c>
    </row>
    <row r="5" spans="1:24" x14ac:dyDescent="0.25">
      <c r="A5" s="2" t="s">
        <v>691</v>
      </c>
      <c r="B5" s="6">
        <v>1</v>
      </c>
      <c r="C5" t="s">
        <v>737</v>
      </c>
      <c r="D5"/>
      <c r="E5"/>
      <c r="F5" s="40" t="s">
        <v>693</v>
      </c>
      <c r="G5" t="s">
        <v>3</v>
      </c>
      <c r="H5" t="s">
        <v>1157</v>
      </c>
      <c r="I5" t="s">
        <v>1074</v>
      </c>
      <c r="J5" t="s">
        <v>3</v>
      </c>
      <c r="K5" s="34" t="s">
        <v>634</v>
      </c>
      <c r="L5"/>
      <c r="M5" s="6" t="s">
        <v>35</v>
      </c>
      <c r="N5" s="6" t="s">
        <v>3</v>
      </c>
      <c r="O5" s="6" t="s">
        <v>96</v>
      </c>
      <c r="P5" s="6" t="s">
        <v>3</v>
      </c>
      <c r="Q5" s="6" t="s">
        <v>3</v>
      </c>
      <c r="R5"/>
      <c r="S5" s="6" t="s">
        <v>3</v>
      </c>
      <c r="T5"/>
      <c r="U5" s="6" t="s">
        <v>3</v>
      </c>
      <c r="V5"/>
      <c r="W5" s="6" t="s">
        <v>3</v>
      </c>
      <c r="X5" s="6" t="s">
        <v>3</v>
      </c>
    </row>
    <row r="6" spans="1:24" x14ac:dyDescent="0.25">
      <c r="A6" s="2" t="s">
        <v>333</v>
      </c>
      <c r="B6" s="6">
        <v>1</v>
      </c>
      <c r="C6" t="s">
        <v>1151</v>
      </c>
      <c r="D6"/>
      <c r="E6"/>
      <c r="F6" s="6" t="s">
        <v>186</v>
      </c>
      <c r="G6" s="11" t="s">
        <v>3</v>
      </c>
      <c r="H6" s="6" t="s">
        <v>1156</v>
      </c>
      <c r="I6" s="6" t="s">
        <v>33</v>
      </c>
      <c r="J6" t="s">
        <v>3</v>
      </c>
      <c r="K6" s="11" t="s">
        <v>34</v>
      </c>
      <c r="L6"/>
      <c r="M6" s="6" t="s">
        <v>35</v>
      </c>
      <c r="N6" s="6" t="s">
        <v>3</v>
      </c>
      <c r="O6" s="6" t="s">
        <v>96</v>
      </c>
      <c r="P6" s="6" t="s">
        <v>3</v>
      </c>
      <c r="Q6" s="6" t="s">
        <v>3</v>
      </c>
      <c r="R6"/>
      <c r="S6" s="6" t="s">
        <v>3</v>
      </c>
      <c r="T6"/>
      <c r="U6" s="6" t="s">
        <v>3</v>
      </c>
      <c r="V6"/>
      <c r="W6" s="6" t="s">
        <v>3</v>
      </c>
      <c r="X6" s="6" t="s">
        <v>3</v>
      </c>
    </row>
    <row r="7" spans="1:24" x14ac:dyDescent="0.25">
      <c r="A7" s="2" t="s">
        <v>335</v>
      </c>
      <c r="B7" s="6">
        <v>1</v>
      </c>
      <c r="C7" t="s">
        <v>1153</v>
      </c>
      <c r="D7"/>
      <c r="E7"/>
      <c r="F7" s="6" t="s">
        <v>186</v>
      </c>
      <c r="G7" s="11" t="s">
        <v>3</v>
      </c>
      <c r="H7" s="6" t="s">
        <v>1156</v>
      </c>
      <c r="I7" s="6" t="s">
        <v>33</v>
      </c>
      <c r="J7" t="s">
        <v>3</v>
      </c>
      <c r="K7" s="11" t="s">
        <v>34</v>
      </c>
      <c r="L7"/>
      <c r="M7" s="6" t="s">
        <v>35</v>
      </c>
      <c r="N7" s="6" t="s">
        <v>3</v>
      </c>
      <c r="O7" s="6" t="s">
        <v>96</v>
      </c>
      <c r="P7" s="6" t="s">
        <v>3</v>
      </c>
      <c r="Q7" s="6" t="s">
        <v>3</v>
      </c>
      <c r="R7"/>
      <c r="S7" s="6" t="s">
        <v>3</v>
      </c>
      <c r="T7"/>
      <c r="U7" s="6" t="s">
        <v>3</v>
      </c>
      <c r="V7"/>
      <c r="W7" s="6" t="s">
        <v>3</v>
      </c>
      <c r="X7" s="6" t="s">
        <v>3</v>
      </c>
    </row>
    <row r="8" spans="1:24" x14ac:dyDescent="0.25">
      <c r="A8" s="2" t="s">
        <v>337</v>
      </c>
      <c r="B8" s="6">
        <v>1</v>
      </c>
      <c r="C8" t="s">
        <v>1154</v>
      </c>
      <c r="D8"/>
      <c r="E8"/>
      <c r="F8" s="6" t="s">
        <v>186</v>
      </c>
      <c r="G8" s="11" t="s">
        <v>3</v>
      </c>
      <c r="H8" s="6" t="s">
        <v>1156</v>
      </c>
      <c r="I8" s="6" t="s">
        <v>33</v>
      </c>
      <c r="J8" t="s">
        <v>3</v>
      </c>
      <c r="K8" s="11" t="s">
        <v>34</v>
      </c>
      <c r="L8"/>
      <c r="M8" s="6" t="s">
        <v>35</v>
      </c>
      <c r="N8" s="6" t="s">
        <v>3</v>
      </c>
      <c r="O8" s="6" t="s">
        <v>96</v>
      </c>
      <c r="P8" s="6" t="s">
        <v>3</v>
      </c>
      <c r="Q8" s="6" t="s">
        <v>3</v>
      </c>
      <c r="R8"/>
      <c r="S8" s="6" t="s">
        <v>3</v>
      </c>
      <c r="T8"/>
      <c r="U8" s="6" t="s">
        <v>3</v>
      </c>
      <c r="V8"/>
      <c r="W8" s="6" t="s">
        <v>3</v>
      </c>
      <c r="X8" s="6" t="s">
        <v>3</v>
      </c>
    </row>
    <row r="9" spans="1:24" x14ac:dyDescent="0.25">
      <c r="A9" s="2" t="s">
        <v>338</v>
      </c>
      <c r="B9" s="6">
        <v>1</v>
      </c>
      <c r="C9" t="s">
        <v>1155</v>
      </c>
      <c r="D9"/>
      <c r="E9"/>
      <c r="F9" s="6" t="s">
        <v>186</v>
      </c>
      <c r="G9" s="11" t="s">
        <v>3</v>
      </c>
      <c r="H9" s="6" t="s">
        <v>1156</v>
      </c>
      <c r="I9" s="6" t="s">
        <v>33</v>
      </c>
      <c r="J9" t="s">
        <v>3</v>
      </c>
      <c r="K9" s="11" t="s">
        <v>34</v>
      </c>
      <c r="L9"/>
      <c r="M9" s="6" t="s">
        <v>35</v>
      </c>
      <c r="N9" s="6" t="s">
        <v>3</v>
      </c>
      <c r="O9" s="6" t="s">
        <v>96</v>
      </c>
      <c r="P9" s="6" t="s">
        <v>3</v>
      </c>
      <c r="Q9" s="6" t="s">
        <v>3</v>
      </c>
      <c r="R9"/>
      <c r="S9" s="6" t="s">
        <v>3</v>
      </c>
      <c r="T9"/>
      <c r="U9" s="6" t="s">
        <v>3</v>
      </c>
      <c r="V9"/>
      <c r="W9" s="6" t="s">
        <v>3</v>
      </c>
      <c r="X9" s="6" t="s">
        <v>3</v>
      </c>
    </row>
    <row r="10" spans="1:24" x14ac:dyDescent="0.25">
      <c r="A10" s="2" t="s">
        <v>339</v>
      </c>
      <c r="B10" s="6">
        <v>1</v>
      </c>
      <c r="C10" t="s">
        <v>1188</v>
      </c>
      <c r="D10"/>
      <c r="E10"/>
      <c r="F10" s="6" t="s">
        <v>186</v>
      </c>
      <c r="G10" s="11" t="s">
        <v>3</v>
      </c>
      <c r="H10" s="6" t="s">
        <v>1156</v>
      </c>
      <c r="I10" s="6" t="s">
        <v>33</v>
      </c>
      <c r="J10" t="s">
        <v>3</v>
      </c>
      <c r="K10" s="11" t="s">
        <v>34</v>
      </c>
      <c r="L10"/>
      <c r="M10" s="6" t="s">
        <v>35</v>
      </c>
      <c r="N10" s="6" t="s">
        <v>3</v>
      </c>
      <c r="O10" s="6" t="s">
        <v>96</v>
      </c>
      <c r="P10" s="6" t="s">
        <v>3</v>
      </c>
      <c r="Q10" s="6" t="s">
        <v>3</v>
      </c>
      <c r="R10"/>
      <c r="S10" s="6" t="s">
        <v>3</v>
      </c>
      <c r="T10"/>
      <c r="U10" s="6" t="s">
        <v>3</v>
      </c>
      <c r="V10"/>
      <c r="W10" s="6" t="s">
        <v>3</v>
      </c>
      <c r="X10" s="6" t="s">
        <v>3</v>
      </c>
    </row>
    <row r="11" spans="1:24" x14ac:dyDescent="0.25">
      <c r="A11" s="2" t="s">
        <v>340</v>
      </c>
      <c r="B11" s="6">
        <v>1</v>
      </c>
      <c r="C11" t="s">
        <v>1163</v>
      </c>
      <c r="D11"/>
      <c r="E11"/>
      <c r="F11" s="6" t="s">
        <v>186</v>
      </c>
      <c r="G11" s="11" t="s">
        <v>3</v>
      </c>
      <c r="H11" s="6" t="s">
        <v>1156</v>
      </c>
      <c r="I11" s="6" t="s">
        <v>33</v>
      </c>
      <c r="J11" t="s">
        <v>3</v>
      </c>
      <c r="K11" s="11" t="s">
        <v>34</v>
      </c>
      <c r="L11"/>
      <c r="M11" s="6" t="s">
        <v>35</v>
      </c>
      <c r="N11" s="6" t="s">
        <v>3</v>
      </c>
      <c r="O11" s="6" t="s">
        <v>96</v>
      </c>
      <c r="P11" s="6" t="s">
        <v>3</v>
      </c>
      <c r="Q11" s="6" t="s">
        <v>3</v>
      </c>
      <c r="R11"/>
      <c r="S11" s="6" t="s">
        <v>3</v>
      </c>
      <c r="T11"/>
      <c r="U11" s="6" t="s">
        <v>3</v>
      </c>
      <c r="V11"/>
      <c r="W11" s="6" t="s">
        <v>3</v>
      </c>
      <c r="X11" s="6" t="s">
        <v>3</v>
      </c>
    </row>
    <row r="12" spans="1:24" x14ac:dyDescent="0.25">
      <c r="A12" s="2" t="s">
        <v>1189</v>
      </c>
      <c r="B12" s="6">
        <v>1</v>
      </c>
      <c r="C12" t="s">
        <v>1190</v>
      </c>
      <c r="D12"/>
      <c r="E12"/>
      <c r="F12" s="6" t="s">
        <v>186</v>
      </c>
      <c r="G12" s="11" t="s">
        <v>3</v>
      </c>
      <c r="H12" s="6" t="s">
        <v>1156</v>
      </c>
      <c r="I12" s="6" t="s">
        <v>33</v>
      </c>
      <c r="J12" t="s">
        <v>3</v>
      </c>
      <c r="K12" s="11" t="s">
        <v>34</v>
      </c>
      <c r="L12"/>
      <c r="M12" s="6" t="s">
        <v>35</v>
      </c>
      <c r="N12" s="6" t="s">
        <v>3</v>
      </c>
      <c r="O12" s="6" t="s">
        <v>96</v>
      </c>
      <c r="P12" s="6" t="s">
        <v>3</v>
      </c>
      <c r="Q12" s="6" t="s">
        <v>3</v>
      </c>
      <c r="R12"/>
      <c r="S12" s="6" t="s">
        <v>3</v>
      </c>
      <c r="T12"/>
      <c r="U12" s="6" t="s">
        <v>3</v>
      </c>
      <c r="V12"/>
      <c r="W12" s="6" t="s">
        <v>3</v>
      </c>
      <c r="X12" s="6" t="s">
        <v>3</v>
      </c>
    </row>
    <row r="13" spans="1:24" x14ac:dyDescent="0.25">
      <c r="A13" s="2" t="s">
        <v>346</v>
      </c>
      <c r="B13" s="6">
        <v>1</v>
      </c>
      <c r="C13" t="s">
        <v>1164</v>
      </c>
      <c r="D13"/>
      <c r="E13"/>
      <c r="F13" s="6" t="s">
        <v>186</v>
      </c>
      <c r="G13" s="11" t="s">
        <v>3</v>
      </c>
      <c r="H13" s="6" t="s">
        <v>1156</v>
      </c>
      <c r="I13" s="6" t="s">
        <v>33</v>
      </c>
      <c r="J13" t="s">
        <v>3</v>
      </c>
      <c r="K13" s="11" t="s">
        <v>34</v>
      </c>
      <c r="L13"/>
      <c r="M13" s="6" t="s">
        <v>35</v>
      </c>
      <c r="N13" s="6" t="s">
        <v>3</v>
      </c>
      <c r="O13" s="6" t="s">
        <v>96</v>
      </c>
      <c r="P13" s="6" t="s">
        <v>3</v>
      </c>
      <c r="Q13" s="6" t="s">
        <v>3</v>
      </c>
      <c r="R13"/>
      <c r="S13" s="6" t="s">
        <v>3</v>
      </c>
      <c r="T13"/>
      <c r="U13" s="6" t="s">
        <v>3</v>
      </c>
      <c r="V13"/>
      <c r="W13" s="6" t="s">
        <v>3</v>
      </c>
      <c r="X13" s="6" t="s">
        <v>3</v>
      </c>
    </row>
    <row r="14" spans="1:24" x14ac:dyDescent="0.25">
      <c r="A14" s="2" t="s">
        <v>347</v>
      </c>
      <c r="B14" s="6">
        <v>1</v>
      </c>
      <c r="C14" t="s">
        <v>1166</v>
      </c>
      <c r="D14"/>
      <c r="E14"/>
      <c r="F14" s="6" t="s">
        <v>186</v>
      </c>
      <c r="G14" s="11" t="s">
        <v>3</v>
      </c>
      <c r="H14" s="6" t="s">
        <v>1156</v>
      </c>
      <c r="I14" s="6" t="s">
        <v>33</v>
      </c>
      <c r="J14" t="s">
        <v>3</v>
      </c>
      <c r="K14" s="11" t="s">
        <v>34</v>
      </c>
      <c r="L14"/>
      <c r="M14" s="6" t="s">
        <v>35</v>
      </c>
      <c r="N14" s="6" t="s">
        <v>3</v>
      </c>
      <c r="O14" s="6" t="s">
        <v>96</v>
      </c>
      <c r="P14" s="6" t="s">
        <v>3</v>
      </c>
      <c r="Q14" s="6" t="s">
        <v>3</v>
      </c>
      <c r="R14"/>
      <c r="S14" s="6" t="s">
        <v>3</v>
      </c>
      <c r="T14"/>
      <c r="U14" s="6" t="s">
        <v>3</v>
      </c>
      <c r="V14"/>
      <c r="W14" s="6" t="s">
        <v>3</v>
      </c>
      <c r="X14" s="6" t="s">
        <v>3</v>
      </c>
    </row>
    <row r="15" spans="1:24" x14ac:dyDescent="0.25">
      <c r="A15" s="2" t="s">
        <v>353</v>
      </c>
      <c r="B15" s="6">
        <v>1</v>
      </c>
      <c r="C15" t="s">
        <v>1169</v>
      </c>
      <c r="D15"/>
      <c r="E15"/>
      <c r="F15" s="6" t="s">
        <v>186</v>
      </c>
      <c r="G15" s="11" t="s">
        <v>3</v>
      </c>
      <c r="H15" s="6" t="s">
        <v>1156</v>
      </c>
      <c r="I15" s="6" t="s">
        <v>33</v>
      </c>
      <c r="J15" t="s">
        <v>3</v>
      </c>
      <c r="K15" s="11" t="s">
        <v>34</v>
      </c>
      <c r="L15"/>
      <c r="M15" s="6" t="s">
        <v>35</v>
      </c>
      <c r="N15" s="6" t="s">
        <v>3</v>
      </c>
      <c r="O15" s="6" t="s">
        <v>96</v>
      </c>
      <c r="P15" s="6" t="s">
        <v>3</v>
      </c>
      <c r="Q15" s="6" t="s">
        <v>3</v>
      </c>
      <c r="R15"/>
      <c r="S15" s="6" t="s">
        <v>3</v>
      </c>
      <c r="T15"/>
      <c r="U15" s="6" t="s">
        <v>3</v>
      </c>
      <c r="V15"/>
      <c r="W15" s="6" t="s">
        <v>3</v>
      </c>
      <c r="X15" s="6" t="s">
        <v>3</v>
      </c>
    </row>
    <row r="16" spans="1:24" x14ac:dyDescent="0.25">
      <c r="A16" s="2" t="s">
        <v>415</v>
      </c>
      <c r="B16" s="6">
        <v>1</v>
      </c>
      <c r="C16" t="s">
        <v>1175</v>
      </c>
      <c r="D16"/>
      <c r="E16"/>
      <c r="F16" s="6" t="s">
        <v>186</v>
      </c>
      <c r="G16" s="11" t="s">
        <v>3</v>
      </c>
      <c r="H16" s="6" t="s">
        <v>1156</v>
      </c>
      <c r="I16" s="6" t="s">
        <v>33</v>
      </c>
      <c r="J16" t="s">
        <v>3</v>
      </c>
      <c r="K16" s="11" t="s">
        <v>34</v>
      </c>
      <c r="L16"/>
      <c r="M16" s="6" t="s">
        <v>35</v>
      </c>
      <c r="N16" s="6" t="s">
        <v>3</v>
      </c>
      <c r="O16" s="6" t="s">
        <v>96</v>
      </c>
      <c r="P16" s="6" t="s">
        <v>3</v>
      </c>
      <c r="Q16" s="6" t="s">
        <v>3</v>
      </c>
      <c r="R16"/>
      <c r="S16" s="6" t="s">
        <v>3</v>
      </c>
      <c r="T16"/>
      <c r="U16" s="6" t="s">
        <v>3</v>
      </c>
      <c r="V16"/>
      <c r="W16" s="6" t="s">
        <v>3</v>
      </c>
      <c r="X16" s="6" t="s">
        <v>3</v>
      </c>
    </row>
    <row r="17" spans="1:24" x14ac:dyDescent="0.25">
      <c r="A17" s="2" t="s">
        <v>395</v>
      </c>
      <c r="B17" s="6">
        <v>1</v>
      </c>
      <c r="C17" t="s">
        <v>1171</v>
      </c>
      <c r="D17"/>
      <c r="E17"/>
      <c r="F17" s="6" t="s">
        <v>186</v>
      </c>
      <c r="G17" s="11" t="s">
        <v>3</v>
      </c>
      <c r="H17" s="6" t="s">
        <v>1156</v>
      </c>
      <c r="I17" s="6" t="s">
        <v>33</v>
      </c>
      <c r="J17" t="s">
        <v>3</v>
      </c>
      <c r="K17" s="11" t="s">
        <v>34</v>
      </c>
      <c r="L17"/>
      <c r="M17" s="6" t="s">
        <v>35</v>
      </c>
      <c r="N17" s="6" t="s">
        <v>3</v>
      </c>
      <c r="O17" s="6" t="s">
        <v>96</v>
      </c>
      <c r="P17" s="6" t="s">
        <v>3</v>
      </c>
      <c r="Q17" s="6" t="s">
        <v>3</v>
      </c>
      <c r="R17"/>
      <c r="S17" s="6" t="s">
        <v>3</v>
      </c>
      <c r="T17"/>
      <c r="U17" s="6" t="s">
        <v>3</v>
      </c>
      <c r="V17"/>
      <c r="W17" s="6" t="s">
        <v>3</v>
      </c>
      <c r="X17" s="6" t="s">
        <v>3</v>
      </c>
    </row>
    <row r="18" spans="1:24" x14ac:dyDescent="0.25">
      <c r="A18" s="2" t="s">
        <v>630</v>
      </c>
      <c r="B18" s="6">
        <v>1</v>
      </c>
      <c r="C18" t="s">
        <v>1172</v>
      </c>
      <c r="D18"/>
      <c r="E18"/>
      <c r="F18" s="6" t="s">
        <v>186</v>
      </c>
      <c r="G18" s="11" t="s">
        <v>3</v>
      </c>
      <c r="H18" s="6" t="s">
        <v>1156</v>
      </c>
      <c r="I18" s="6" t="s">
        <v>33</v>
      </c>
      <c r="J18" t="s">
        <v>3</v>
      </c>
      <c r="K18" s="11" t="s">
        <v>34</v>
      </c>
      <c r="L18"/>
      <c r="M18" s="6" t="s">
        <v>35</v>
      </c>
      <c r="N18" s="6" t="s">
        <v>3</v>
      </c>
      <c r="O18" s="6" t="s">
        <v>96</v>
      </c>
      <c r="P18" s="6" t="s">
        <v>3</v>
      </c>
      <c r="Q18" s="6" t="s">
        <v>3</v>
      </c>
      <c r="R18"/>
      <c r="S18" s="6" t="s">
        <v>3</v>
      </c>
      <c r="T18"/>
      <c r="U18" s="6" t="s">
        <v>3</v>
      </c>
      <c r="V18"/>
      <c r="W18" s="6" t="s">
        <v>3</v>
      </c>
      <c r="X18" s="6" t="s">
        <v>3</v>
      </c>
    </row>
    <row r="19" spans="1:24" x14ac:dyDescent="0.25">
      <c r="A19" s="2" t="s">
        <v>491</v>
      </c>
      <c r="B19" s="6">
        <v>1</v>
      </c>
      <c r="C19" t="s">
        <v>1176</v>
      </c>
      <c r="D19"/>
      <c r="E19"/>
      <c r="F19" s="6" t="s">
        <v>186</v>
      </c>
      <c r="G19" s="11" t="s">
        <v>3</v>
      </c>
      <c r="H19" s="6" t="s">
        <v>1156</v>
      </c>
      <c r="I19" s="6" t="s">
        <v>33</v>
      </c>
      <c r="J19" t="s">
        <v>3</v>
      </c>
      <c r="K19" s="11" t="s">
        <v>34</v>
      </c>
      <c r="L19"/>
      <c r="M19" s="6" t="s">
        <v>35</v>
      </c>
      <c r="N19" s="6" t="s">
        <v>3</v>
      </c>
      <c r="O19" s="6" t="s">
        <v>96</v>
      </c>
      <c r="P19" s="6" t="s">
        <v>3</v>
      </c>
      <c r="Q19" s="6" t="s">
        <v>3</v>
      </c>
      <c r="R19"/>
      <c r="S19" s="6" t="s">
        <v>3</v>
      </c>
      <c r="T19"/>
      <c r="U19" s="6" t="s">
        <v>3</v>
      </c>
      <c r="V19"/>
      <c r="W19" s="6" t="s">
        <v>3</v>
      </c>
      <c r="X19" s="6" t="s">
        <v>3</v>
      </c>
    </row>
    <row r="20" spans="1:24" x14ac:dyDescent="0.25">
      <c r="A20" s="2" t="s">
        <v>1019</v>
      </c>
      <c r="B20" s="6">
        <v>1</v>
      </c>
      <c r="C20" t="s">
        <v>1177</v>
      </c>
      <c r="D20"/>
      <c r="E20"/>
      <c r="F20" s="6" t="s">
        <v>186</v>
      </c>
      <c r="G20" s="11" t="s">
        <v>3</v>
      </c>
      <c r="H20" s="6" t="s">
        <v>1156</v>
      </c>
      <c r="I20" s="6" t="s">
        <v>33</v>
      </c>
      <c r="J20" t="s">
        <v>3</v>
      </c>
      <c r="K20" s="11" t="s">
        <v>34</v>
      </c>
      <c r="L20"/>
      <c r="M20" s="6" t="s">
        <v>35</v>
      </c>
      <c r="N20" s="6" t="s">
        <v>3</v>
      </c>
      <c r="O20" s="6" t="s">
        <v>96</v>
      </c>
      <c r="P20" s="6" t="s">
        <v>3</v>
      </c>
      <c r="Q20" s="6" t="s">
        <v>3</v>
      </c>
      <c r="R20"/>
      <c r="S20" s="6" t="s">
        <v>3</v>
      </c>
      <c r="T20"/>
      <c r="U20" s="6" t="s">
        <v>3</v>
      </c>
      <c r="V20"/>
      <c r="W20" s="6" t="s">
        <v>3</v>
      </c>
      <c r="X20" s="6" t="s">
        <v>3</v>
      </c>
    </row>
    <row r="21" spans="1:24" x14ac:dyDescent="0.25">
      <c r="A21" s="2" t="s">
        <v>536</v>
      </c>
      <c r="B21" s="6">
        <v>1</v>
      </c>
      <c r="C21"/>
      <c r="D21"/>
      <c r="E21"/>
      <c r="F21" s="6" t="s">
        <v>186</v>
      </c>
      <c r="G21" s="11" t="s">
        <v>3</v>
      </c>
      <c r="H21" s="6" t="s">
        <v>1156</v>
      </c>
      <c r="I21" s="6" t="s">
        <v>33</v>
      </c>
      <c r="J21" t="s">
        <v>3</v>
      </c>
      <c r="K21" s="11" t="s">
        <v>34</v>
      </c>
      <c r="L21"/>
      <c r="M21" s="6" t="s">
        <v>35</v>
      </c>
      <c r="N21" s="6" t="s">
        <v>3</v>
      </c>
      <c r="O21" s="6" t="s">
        <v>96</v>
      </c>
      <c r="P21" s="6" t="s">
        <v>3</v>
      </c>
      <c r="Q21" s="6" t="s">
        <v>3</v>
      </c>
      <c r="R21"/>
      <c r="S21" s="6" t="s">
        <v>3</v>
      </c>
      <c r="T21"/>
      <c r="U21" s="6" t="s">
        <v>3</v>
      </c>
      <c r="V21"/>
      <c r="W21" s="6" t="s">
        <v>3</v>
      </c>
      <c r="X21" s="6" t="s">
        <v>3</v>
      </c>
    </row>
    <row r="22" spans="1:24" x14ac:dyDescent="0.25">
      <c r="A22" s="2" t="s">
        <v>603</v>
      </c>
      <c r="B22" s="6">
        <v>1</v>
      </c>
      <c r="C22" t="s">
        <v>1173</v>
      </c>
      <c r="D22"/>
      <c r="E22"/>
      <c r="F22" s="6" t="s">
        <v>186</v>
      </c>
      <c r="G22" s="11" t="s">
        <v>3</v>
      </c>
      <c r="H22" s="6" t="s">
        <v>1156</v>
      </c>
      <c r="I22" s="6" t="s">
        <v>33</v>
      </c>
      <c r="J22" t="s">
        <v>3</v>
      </c>
      <c r="K22" s="11" t="s">
        <v>34</v>
      </c>
      <c r="L22"/>
      <c r="M22" s="6" t="s">
        <v>35</v>
      </c>
      <c r="N22" s="6" t="s">
        <v>3</v>
      </c>
      <c r="O22" s="6" t="s">
        <v>96</v>
      </c>
      <c r="P22" s="6" t="s">
        <v>3</v>
      </c>
      <c r="Q22" s="6" t="s">
        <v>3</v>
      </c>
      <c r="R22"/>
      <c r="S22" s="6" t="s">
        <v>3</v>
      </c>
      <c r="T22"/>
      <c r="U22" s="6" t="s">
        <v>3</v>
      </c>
      <c r="V22"/>
      <c r="W22" s="6" t="s">
        <v>3</v>
      </c>
      <c r="X22" s="6" t="s">
        <v>3</v>
      </c>
    </row>
    <row r="23" spans="1:24" x14ac:dyDescent="0.25">
      <c r="A23" s="2" t="s">
        <v>735</v>
      </c>
      <c r="B23" s="6">
        <v>1</v>
      </c>
      <c r="C23" t="s">
        <v>1178</v>
      </c>
      <c r="D23"/>
      <c r="E23"/>
      <c r="F23" s="6" t="s">
        <v>186</v>
      </c>
      <c r="G23" s="11" t="s">
        <v>3</v>
      </c>
      <c r="H23" s="6" t="s">
        <v>1156</v>
      </c>
      <c r="I23" s="6" t="s">
        <v>33</v>
      </c>
      <c r="J23" t="s">
        <v>3</v>
      </c>
      <c r="K23" s="11" t="s">
        <v>34</v>
      </c>
      <c r="L23"/>
      <c r="M23" s="6" t="s">
        <v>35</v>
      </c>
      <c r="N23" s="6" t="s">
        <v>3</v>
      </c>
      <c r="O23" s="6" t="s">
        <v>96</v>
      </c>
      <c r="P23" s="6" t="s">
        <v>3</v>
      </c>
      <c r="Q23" s="6" t="s">
        <v>3</v>
      </c>
      <c r="R23"/>
      <c r="S23" s="6" t="s">
        <v>3</v>
      </c>
      <c r="T23"/>
      <c r="U23" s="6" t="s">
        <v>3</v>
      </c>
      <c r="V23"/>
      <c r="W23" s="6" t="s">
        <v>3</v>
      </c>
      <c r="X23" s="6" t="s">
        <v>3</v>
      </c>
    </row>
    <row r="24" spans="1:24" x14ac:dyDescent="0.25">
      <c r="A24" s="2" t="s">
        <v>849</v>
      </c>
      <c r="B24" s="6">
        <v>1</v>
      </c>
      <c r="C24" t="s">
        <v>1179</v>
      </c>
      <c r="D24"/>
      <c r="E24"/>
      <c r="F24" s="6" t="s">
        <v>186</v>
      </c>
      <c r="G24" s="11" t="s">
        <v>3</v>
      </c>
      <c r="H24" s="6" t="s">
        <v>1156</v>
      </c>
      <c r="I24" s="6" t="s">
        <v>33</v>
      </c>
      <c r="J24" t="s">
        <v>3</v>
      </c>
      <c r="K24" s="11" t="s">
        <v>34</v>
      </c>
      <c r="L24"/>
      <c r="M24" s="6" t="s">
        <v>35</v>
      </c>
      <c r="N24" s="6" t="s">
        <v>3</v>
      </c>
      <c r="O24" s="6" t="s">
        <v>96</v>
      </c>
      <c r="P24" s="6" t="s">
        <v>3</v>
      </c>
      <c r="Q24" s="6" t="s">
        <v>3</v>
      </c>
      <c r="R24"/>
      <c r="S24" s="6" t="s">
        <v>3</v>
      </c>
      <c r="T24"/>
      <c r="U24" s="6" t="s">
        <v>3</v>
      </c>
      <c r="V24"/>
      <c r="W24" s="6" t="s">
        <v>3</v>
      </c>
      <c r="X24" s="6" t="s">
        <v>3</v>
      </c>
    </row>
    <row r="25" spans="1:24" x14ac:dyDescent="0.25">
      <c r="A25" s="2" t="s">
        <v>864</v>
      </c>
      <c r="B25" s="6">
        <v>1</v>
      </c>
      <c r="C25" t="s">
        <v>1180</v>
      </c>
      <c r="D25"/>
      <c r="E25"/>
      <c r="F25" s="6" t="s">
        <v>186</v>
      </c>
      <c r="G25" s="11" t="s">
        <v>3</v>
      </c>
      <c r="H25" s="6" t="s">
        <v>1156</v>
      </c>
      <c r="I25" s="6" t="s">
        <v>33</v>
      </c>
      <c r="J25" t="s">
        <v>3</v>
      </c>
      <c r="K25" s="11" t="s">
        <v>34</v>
      </c>
      <c r="L25"/>
      <c r="M25" s="6" t="s">
        <v>35</v>
      </c>
      <c r="N25" s="6" t="s">
        <v>3</v>
      </c>
      <c r="O25" s="6" t="s">
        <v>96</v>
      </c>
      <c r="P25" s="6" t="s">
        <v>3</v>
      </c>
      <c r="Q25" s="6" t="s">
        <v>3</v>
      </c>
      <c r="R25"/>
      <c r="S25" s="6" t="s">
        <v>3</v>
      </c>
      <c r="T25"/>
      <c r="U25" s="6" t="s">
        <v>3</v>
      </c>
      <c r="V25"/>
      <c r="W25" s="6" t="s">
        <v>3</v>
      </c>
      <c r="X25" s="6" t="s">
        <v>3</v>
      </c>
    </row>
    <row r="26" spans="1:24" x14ac:dyDescent="0.25">
      <c r="A26" s="2" t="s">
        <v>868</v>
      </c>
      <c r="B26" s="6">
        <v>1</v>
      </c>
      <c r="C26" t="s">
        <v>1181</v>
      </c>
      <c r="D26"/>
      <c r="E26"/>
      <c r="F26" s="6" t="s">
        <v>186</v>
      </c>
      <c r="G26" s="11" t="s">
        <v>3</v>
      </c>
      <c r="H26" s="6" t="s">
        <v>1156</v>
      </c>
      <c r="I26" s="6" t="s">
        <v>33</v>
      </c>
      <c r="J26" t="s">
        <v>3</v>
      </c>
      <c r="K26" s="11" t="s">
        <v>34</v>
      </c>
      <c r="L26"/>
      <c r="M26" s="6" t="s">
        <v>35</v>
      </c>
      <c r="N26" s="6" t="s">
        <v>3</v>
      </c>
      <c r="O26" s="6" t="s">
        <v>96</v>
      </c>
      <c r="P26" s="6" t="s">
        <v>3</v>
      </c>
      <c r="Q26" s="6" t="s">
        <v>3</v>
      </c>
      <c r="R26"/>
      <c r="S26" s="6" t="s">
        <v>3</v>
      </c>
      <c r="T26"/>
      <c r="U26" s="6" t="s">
        <v>3</v>
      </c>
      <c r="V26"/>
      <c r="W26" s="6" t="s">
        <v>3</v>
      </c>
      <c r="X26" s="6" t="s">
        <v>3</v>
      </c>
    </row>
    <row r="27" spans="1:24" x14ac:dyDescent="0.25">
      <c r="A27" s="2" t="s">
        <v>869</v>
      </c>
      <c r="B27" s="6">
        <v>1</v>
      </c>
      <c r="C27" t="s">
        <v>1182</v>
      </c>
      <c r="D27"/>
      <c r="E27"/>
      <c r="F27" s="6" t="s">
        <v>186</v>
      </c>
      <c r="G27" s="11" t="s">
        <v>3</v>
      </c>
      <c r="H27" s="6" t="s">
        <v>1156</v>
      </c>
      <c r="I27" s="6" t="s">
        <v>33</v>
      </c>
      <c r="J27" t="s">
        <v>3</v>
      </c>
      <c r="K27" s="11" t="s">
        <v>34</v>
      </c>
      <c r="L27"/>
      <c r="M27" s="6" t="s">
        <v>35</v>
      </c>
      <c r="N27" s="6" t="s">
        <v>3</v>
      </c>
      <c r="O27" s="6" t="s">
        <v>96</v>
      </c>
      <c r="P27" s="6" t="s">
        <v>3</v>
      </c>
      <c r="Q27" s="6" t="s">
        <v>3</v>
      </c>
      <c r="R27"/>
      <c r="S27" s="6" t="s">
        <v>3</v>
      </c>
      <c r="T27"/>
      <c r="U27" s="6" t="s">
        <v>3</v>
      </c>
      <c r="V27"/>
      <c r="W27" s="6" t="s">
        <v>3</v>
      </c>
      <c r="X27" s="6" t="s">
        <v>3</v>
      </c>
    </row>
    <row r="28" spans="1:24" x14ac:dyDescent="0.25">
      <c r="A28" s="2" t="s">
        <v>879</v>
      </c>
      <c r="B28" s="6">
        <v>1</v>
      </c>
      <c r="C28" t="s">
        <v>1183</v>
      </c>
      <c r="D28"/>
      <c r="E28"/>
      <c r="F28" s="6" t="s">
        <v>186</v>
      </c>
      <c r="G28" s="11" t="s">
        <v>3</v>
      </c>
      <c r="H28" s="6" t="s">
        <v>1156</v>
      </c>
      <c r="I28" s="6" t="s">
        <v>33</v>
      </c>
      <c r="J28" t="s">
        <v>3</v>
      </c>
      <c r="K28" s="11" t="s">
        <v>34</v>
      </c>
      <c r="L28"/>
      <c r="M28" s="6" t="s">
        <v>35</v>
      </c>
      <c r="N28" s="6" t="s">
        <v>3</v>
      </c>
      <c r="O28" s="6" t="s">
        <v>96</v>
      </c>
      <c r="P28" s="6" t="s">
        <v>3</v>
      </c>
      <c r="Q28" s="6" t="s">
        <v>3</v>
      </c>
      <c r="R28"/>
      <c r="S28" s="6" t="s">
        <v>3</v>
      </c>
      <c r="T28"/>
      <c r="U28" s="6" t="s">
        <v>3</v>
      </c>
      <c r="V28"/>
      <c r="W28" s="6" t="s">
        <v>3</v>
      </c>
      <c r="X28" s="6" t="s">
        <v>3</v>
      </c>
    </row>
    <row r="29" spans="1:24" x14ac:dyDescent="0.25">
      <c r="A29" s="2" t="s">
        <v>751</v>
      </c>
      <c r="B29" s="6">
        <v>1</v>
      </c>
      <c r="C29" t="s">
        <v>1085</v>
      </c>
      <c r="D29"/>
      <c r="E29"/>
      <c r="F29" s="6" t="s">
        <v>186</v>
      </c>
      <c r="G29" s="11" t="s">
        <v>3</v>
      </c>
      <c r="H29" s="6" t="s">
        <v>1156</v>
      </c>
      <c r="I29" s="6" t="s">
        <v>33</v>
      </c>
      <c r="J29" t="s">
        <v>3</v>
      </c>
      <c r="K29" s="11" t="s">
        <v>34</v>
      </c>
      <c r="L29"/>
      <c r="M29" s="6" t="s">
        <v>35</v>
      </c>
      <c r="N29" s="6" t="s">
        <v>3</v>
      </c>
      <c r="O29" s="6" t="s">
        <v>96</v>
      </c>
      <c r="P29" s="6" t="s">
        <v>3</v>
      </c>
      <c r="Q29" s="6" t="s">
        <v>3</v>
      </c>
      <c r="R29"/>
      <c r="S29" s="6" t="s">
        <v>3</v>
      </c>
      <c r="T29"/>
      <c r="U29" s="6" t="s">
        <v>3</v>
      </c>
      <c r="V29"/>
      <c r="W29" s="6" t="s">
        <v>3</v>
      </c>
      <c r="X29" s="6" t="s">
        <v>3</v>
      </c>
    </row>
    <row r="30" spans="1:24" x14ac:dyDescent="0.25">
      <c r="A30" s="2" t="s">
        <v>752</v>
      </c>
      <c r="B30" s="6">
        <v>1</v>
      </c>
      <c r="C30" t="s">
        <v>1010</v>
      </c>
      <c r="D30"/>
      <c r="E30"/>
      <c r="F30" s="6" t="s">
        <v>186</v>
      </c>
      <c r="G30" s="11" t="s">
        <v>3</v>
      </c>
      <c r="H30" s="6" t="s">
        <v>1156</v>
      </c>
      <c r="I30" s="6" t="s">
        <v>33</v>
      </c>
      <c r="J30" t="s">
        <v>3</v>
      </c>
      <c r="K30" s="11" t="s">
        <v>34</v>
      </c>
      <c r="L30"/>
      <c r="M30" s="6" t="s">
        <v>35</v>
      </c>
      <c r="N30" s="6" t="s">
        <v>3</v>
      </c>
      <c r="O30" s="6" t="s">
        <v>96</v>
      </c>
      <c r="P30" s="6" t="s">
        <v>3</v>
      </c>
      <c r="Q30" s="6" t="s">
        <v>3</v>
      </c>
      <c r="R30"/>
      <c r="S30" s="6" t="s">
        <v>3</v>
      </c>
      <c r="T30"/>
      <c r="U30" s="6" t="s">
        <v>3</v>
      </c>
      <c r="V30"/>
      <c r="W30" s="6" t="s">
        <v>3</v>
      </c>
      <c r="X30" s="6" t="s">
        <v>3</v>
      </c>
    </row>
    <row r="31" spans="1:24" x14ac:dyDescent="0.25">
      <c r="A31" s="2" t="s">
        <v>917</v>
      </c>
      <c r="B31" s="6">
        <v>1</v>
      </c>
      <c r="C31" t="s">
        <v>1070</v>
      </c>
      <c r="D31"/>
      <c r="E31"/>
      <c r="F31" s="6" t="s">
        <v>186</v>
      </c>
      <c r="G31" s="11" t="s">
        <v>3</v>
      </c>
      <c r="H31" s="6" t="s">
        <v>1156</v>
      </c>
      <c r="I31" s="6" t="s">
        <v>33</v>
      </c>
      <c r="J31" t="s">
        <v>3</v>
      </c>
      <c r="K31" s="11" t="s">
        <v>34</v>
      </c>
      <c r="L31"/>
      <c r="M31" s="6" t="s">
        <v>35</v>
      </c>
      <c r="N31" s="6" t="s">
        <v>3</v>
      </c>
      <c r="O31" s="6" t="s">
        <v>96</v>
      </c>
      <c r="P31" s="6" t="s">
        <v>3</v>
      </c>
      <c r="Q31" s="6" t="s">
        <v>3</v>
      </c>
      <c r="R31"/>
      <c r="S31" s="6" t="s">
        <v>3</v>
      </c>
      <c r="T31"/>
      <c r="U31" s="6" t="s">
        <v>3</v>
      </c>
      <c r="V31"/>
      <c r="W31" s="6" t="s">
        <v>3</v>
      </c>
      <c r="X31" s="6" t="s">
        <v>3</v>
      </c>
    </row>
    <row r="32" spans="1:24" x14ac:dyDescent="0.25">
      <c r="A32" s="2" t="s">
        <v>918</v>
      </c>
      <c r="B32" s="6">
        <v>1</v>
      </c>
      <c r="C32" t="s">
        <v>1150</v>
      </c>
      <c r="D32"/>
      <c r="E32"/>
      <c r="F32" s="6" t="s">
        <v>186</v>
      </c>
      <c r="G32" s="11" t="s">
        <v>3</v>
      </c>
      <c r="H32" s="6" t="s">
        <v>1156</v>
      </c>
      <c r="I32" s="6" t="s">
        <v>33</v>
      </c>
      <c r="J32" t="s">
        <v>3</v>
      </c>
      <c r="K32" s="11" t="s">
        <v>34</v>
      </c>
      <c r="L32"/>
      <c r="M32" s="6" t="s">
        <v>35</v>
      </c>
      <c r="N32" s="6" t="s">
        <v>3</v>
      </c>
      <c r="O32" s="6" t="s">
        <v>96</v>
      </c>
      <c r="P32" s="6" t="s">
        <v>3</v>
      </c>
      <c r="Q32" s="6" t="s">
        <v>3</v>
      </c>
      <c r="R32"/>
      <c r="S32" s="6" t="s">
        <v>3</v>
      </c>
      <c r="T32"/>
      <c r="U32" s="6" t="s">
        <v>3</v>
      </c>
      <c r="V32"/>
      <c r="W32" s="6" t="s">
        <v>3</v>
      </c>
      <c r="X32" s="6" t="s">
        <v>3</v>
      </c>
    </row>
    <row r="33" spans="1:24" x14ac:dyDescent="0.25">
      <c r="A33" s="2" t="s">
        <v>1104</v>
      </c>
      <c r="B33" s="6">
        <v>1</v>
      </c>
      <c r="C33" t="s">
        <v>1198</v>
      </c>
      <c r="D33"/>
      <c r="E33"/>
      <c r="F33" s="6" t="s">
        <v>186</v>
      </c>
      <c r="G33" s="11" t="s">
        <v>3</v>
      </c>
      <c r="H33" s="6" t="s">
        <v>1156</v>
      </c>
      <c r="I33" s="6" t="s">
        <v>33</v>
      </c>
      <c r="J33" t="s">
        <v>3</v>
      </c>
      <c r="K33" s="11" t="s">
        <v>34</v>
      </c>
      <c r="L33"/>
      <c r="M33" s="6" t="s">
        <v>35</v>
      </c>
      <c r="N33" s="6" t="s">
        <v>3</v>
      </c>
      <c r="O33" s="6" t="s">
        <v>96</v>
      </c>
      <c r="P33" s="6" t="s">
        <v>3</v>
      </c>
      <c r="Q33" s="6" t="s">
        <v>3</v>
      </c>
      <c r="R33"/>
      <c r="S33" s="6" t="s">
        <v>3</v>
      </c>
      <c r="T33"/>
      <c r="U33" s="6" t="s">
        <v>3</v>
      </c>
      <c r="V33"/>
      <c r="W33" s="6" t="s">
        <v>3</v>
      </c>
      <c r="X33" s="6" t="s">
        <v>3</v>
      </c>
    </row>
  </sheetData>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92"/>
  <sheetViews>
    <sheetView topLeftCell="A68" zoomScale="85" zoomScaleNormal="85" workbookViewId="0">
      <selection activeCell="D78" sqref="D78"/>
    </sheetView>
  </sheetViews>
  <sheetFormatPr defaultRowHeight="15" x14ac:dyDescent="0.25"/>
  <cols>
    <col min="1" max="1" width="7.140625" style="1" bestFit="1" customWidth="1" collapsed="1"/>
    <col min="2" max="2" width="8.7109375" style="1" bestFit="1" customWidth="1" collapsed="1"/>
    <col min="3" max="3" width="11.5703125" style="1" bestFit="1" customWidth="1" collapsed="1"/>
    <col min="4" max="4" width="16.28515625" style="1" customWidth="1" collapsed="1"/>
    <col min="5" max="5" width="15.28515625" style="1" customWidth="1" collapsed="1"/>
    <col min="6" max="16384" width="9.140625" style="1" collapsed="1"/>
  </cols>
  <sheetData>
    <row r="1" spans="1:7" x14ac:dyDescent="0.25">
      <c r="A1" s="9" t="s">
        <v>0</v>
      </c>
      <c r="B1" s="5" t="s">
        <v>20</v>
      </c>
      <c r="C1" s="5" t="s">
        <v>49</v>
      </c>
      <c r="D1" s="5" t="s">
        <v>50</v>
      </c>
      <c r="E1" s="5" t="s">
        <v>118</v>
      </c>
      <c r="F1" s="3"/>
      <c r="G1" s="3"/>
    </row>
    <row r="2" spans="1:7" x14ac:dyDescent="0.25">
      <c r="A2" s="2" t="s">
        <v>1</v>
      </c>
      <c r="B2" s="6">
        <v>1</v>
      </c>
      <c r="C2" s="6" t="s">
        <v>3</v>
      </c>
      <c r="D2" s="12" t="s">
        <v>251</v>
      </c>
      <c r="E2" s="2" t="s">
        <v>3</v>
      </c>
      <c r="F2"/>
      <c r="G2"/>
    </row>
    <row r="3" spans="1:7" x14ac:dyDescent="0.25">
      <c r="A3" s="2" t="s">
        <v>2</v>
      </c>
      <c r="B3" s="6">
        <v>1</v>
      </c>
      <c r="C3" s="6" t="s">
        <v>3</v>
      </c>
      <c r="D3" s="12" t="s">
        <v>878</v>
      </c>
      <c r="E3" s="2" t="s">
        <v>3</v>
      </c>
      <c r="F3"/>
      <c r="G3"/>
    </row>
    <row r="4" spans="1:7" x14ac:dyDescent="0.25">
      <c r="A4" s="2" t="s">
        <v>16</v>
      </c>
      <c r="B4" s="6">
        <v>1</v>
      </c>
      <c r="C4" s="6" t="s">
        <v>3</v>
      </c>
      <c r="D4"/>
      <c r="E4" s="2" t="s">
        <v>3</v>
      </c>
      <c r="F4"/>
      <c r="G4"/>
    </row>
    <row r="5" spans="1:7" x14ac:dyDescent="0.25">
      <c r="A5" s="2" t="s">
        <v>333</v>
      </c>
      <c r="B5" s="6">
        <v>1</v>
      </c>
      <c r="C5" s="6" t="s">
        <v>3</v>
      </c>
      <c r="D5" t="s">
        <v>1151</v>
      </c>
      <c r="E5" s="2" t="s">
        <v>3</v>
      </c>
      <c r="F5" s="12" t="s">
        <v>623</v>
      </c>
      <c r="G5"/>
    </row>
    <row r="6" spans="1:7" x14ac:dyDescent="0.25">
      <c r="A6" s="2" t="s">
        <v>335</v>
      </c>
      <c r="B6" s="6">
        <v>1</v>
      </c>
      <c r="C6" s="6" t="s">
        <v>3</v>
      </c>
      <c r="D6" s="56" t="s">
        <v>1153</v>
      </c>
      <c r="E6" s="2" t="s">
        <v>3</v>
      </c>
      <c r="F6" s="12" t="s">
        <v>623</v>
      </c>
      <c r="G6"/>
    </row>
    <row r="7" spans="1:7" x14ac:dyDescent="0.25">
      <c r="A7" s="2" t="s">
        <v>337</v>
      </c>
      <c r="B7" s="6">
        <v>1</v>
      </c>
      <c r="C7" s="6" t="s">
        <v>3</v>
      </c>
      <c r="D7" t="s">
        <v>1154</v>
      </c>
      <c r="E7" s="2" t="s">
        <v>3</v>
      </c>
      <c r="F7" s="12" t="s">
        <v>623</v>
      </c>
      <c r="G7"/>
    </row>
    <row r="8" spans="1:7" x14ac:dyDescent="0.25">
      <c r="A8" s="2" t="s">
        <v>338</v>
      </c>
      <c r="B8" s="6">
        <v>1</v>
      </c>
      <c r="C8" s="6" t="s">
        <v>3</v>
      </c>
      <c r="D8" t="s">
        <v>1155</v>
      </c>
      <c r="E8" s="2" t="s">
        <v>3</v>
      </c>
      <c r="F8" s="12" t="s">
        <v>623</v>
      </c>
      <c r="G8"/>
    </row>
    <row r="9" spans="1:7" x14ac:dyDescent="0.25">
      <c r="A9" s="2" t="s">
        <v>339</v>
      </c>
      <c r="B9" s="6">
        <v>1</v>
      </c>
      <c r="C9" s="6" t="s">
        <v>3</v>
      </c>
      <c r="D9" t="s">
        <v>1188</v>
      </c>
      <c r="E9" s="2" t="s">
        <v>3</v>
      </c>
      <c r="F9" s="12" t="s">
        <v>623</v>
      </c>
      <c r="G9"/>
    </row>
    <row r="10" spans="1:7" x14ac:dyDescent="0.25">
      <c r="A10" s="2" t="s">
        <v>340</v>
      </c>
      <c r="B10" s="6">
        <v>1</v>
      </c>
      <c r="C10" s="6" t="s">
        <v>3</v>
      </c>
      <c r="D10" t="s">
        <v>1163</v>
      </c>
      <c r="E10" s="2" t="s">
        <v>3</v>
      </c>
      <c r="F10" s="12" t="s">
        <v>623</v>
      </c>
      <c r="G10"/>
    </row>
    <row r="11" spans="1:7" x14ac:dyDescent="0.25">
      <c r="A11" s="2" t="s">
        <v>127</v>
      </c>
      <c r="B11" s="6">
        <v>1</v>
      </c>
      <c r="C11" s="6" t="s">
        <v>3</v>
      </c>
      <c r="D11" s="28" t="str">
        <f>SearchAccount!D6</f>
        <v>147922269795007</v>
      </c>
      <c r="E11" s="2" t="s">
        <v>3</v>
      </c>
      <c r="F11" s="12" t="s">
        <v>623</v>
      </c>
      <c r="G11"/>
    </row>
    <row r="12" spans="1:7" x14ac:dyDescent="0.25">
      <c r="A12" s="2" t="s">
        <v>146</v>
      </c>
      <c r="B12" s="6">
        <v>1</v>
      </c>
      <c r="C12" s="6" t="s">
        <v>3</v>
      </c>
      <c r="D12" s="28" t="str">
        <f>SearchAccount!D6</f>
        <v>147922269795007</v>
      </c>
      <c r="E12" s="2" t="s">
        <v>3</v>
      </c>
      <c r="F12" s="12" t="s">
        <v>623</v>
      </c>
      <c r="G12"/>
    </row>
    <row r="13" spans="1:7" x14ac:dyDescent="0.25">
      <c r="A13" s="2" t="s">
        <v>136</v>
      </c>
      <c r="B13" s="6">
        <v>1</v>
      </c>
      <c r="C13" s="6" t="s">
        <v>3</v>
      </c>
      <c r="D13" s="28" t="str">
        <f>SearchAccount!D6</f>
        <v>147922269795007</v>
      </c>
      <c r="E13" s="2" t="s">
        <v>3</v>
      </c>
      <c r="F13" s="12" t="s">
        <v>623</v>
      </c>
      <c r="G13"/>
    </row>
    <row r="14" spans="1:7" x14ac:dyDescent="0.25">
      <c r="A14" s="2" t="s">
        <v>151</v>
      </c>
      <c r="B14" s="6">
        <v>1</v>
      </c>
      <c r="C14" s="6" t="s">
        <v>3</v>
      </c>
      <c r="D14" s="28" t="str">
        <f>SearchAccount!D6</f>
        <v>147922269795007</v>
      </c>
      <c r="E14" s="2" t="s">
        <v>3</v>
      </c>
      <c r="F14" s="12" t="s">
        <v>623</v>
      </c>
      <c r="G14"/>
    </row>
    <row r="15" spans="1:7" x14ac:dyDescent="0.25">
      <c r="A15" s="2" t="s">
        <v>154</v>
      </c>
      <c r="B15" s="6">
        <v>1</v>
      </c>
      <c r="C15" s="6" t="s">
        <v>3</v>
      </c>
      <c r="D15" s="28" t="str">
        <f>SearchAccount!D6</f>
        <v>147922269795007</v>
      </c>
      <c r="E15" s="2" t="s">
        <v>3</v>
      </c>
      <c r="F15" s="12" t="s">
        <v>623</v>
      </c>
      <c r="G15"/>
    </row>
    <row r="16" spans="1:7" x14ac:dyDescent="0.25">
      <c r="A16" s="2" t="s">
        <v>155</v>
      </c>
      <c r="B16" s="6">
        <v>1</v>
      </c>
      <c r="C16" s="6" t="s">
        <v>3</v>
      </c>
      <c r="D16" s="28" t="str">
        <f>SearchAccount!D6</f>
        <v>147922269795007</v>
      </c>
      <c r="E16" s="2" t="s">
        <v>3</v>
      </c>
      <c r="F16" s="12" t="s">
        <v>623</v>
      </c>
      <c r="G16"/>
    </row>
    <row r="17" spans="1:7" x14ac:dyDescent="0.25">
      <c r="A17" s="2" t="s">
        <v>178</v>
      </c>
      <c r="B17" s="6">
        <v>1</v>
      </c>
      <c r="C17" s="6" t="s">
        <v>3</v>
      </c>
      <c r="D17" s="28" t="str">
        <f>SearchAccount!D6</f>
        <v>147922269795007</v>
      </c>
      <c r="E17" s="2" t="s">
        <v>3</v>
      </c>
      <c r="F17" s="12" t="s">
        <v>623</v>
      </c>
      <c r="G17"/>
    </row>
    <row r="18" spans="1:7" x14ac:dyDescent="0.25">
      <c r="A18" s="2" t="s">
        <v>194</v>
      </c>
      <c r="B18" s="6">
        <v>1</v>
      </c>
      <c r="C18" s="6" t="s">
        <v>3</v>
      </c>
      <c r="D18" s="24" t="str">
        <f>SearchAccount!D7</f>
        <v>147922276933482</v>
      </c>
      <c r="E18" s="2" t="s">
        <v>3</v>
      </c>
      <c r="F18" s="12" t="s">
        <v>623</v>
      </c>
      <c r="G18"/>
    </row>
    <row r="19" spans="1:7" x14ac:dyDescent="0.25">
      <c r="A19" s="2" t="s">
        <v>240</v>
      </c>
      <c r="B19" s="6">
        <v>1</v>
      </c>
      <c r="C19" s="6" t="s">
        <v>3</v>
      </c>
      <c r="D19" s="24" t="str">
        <f>SearchAccount!D10</f>
        <v>147930783824226</v>
      </c>
      <c r="E19" s="2" t="s">
        <v>3</v>
      </c>
      <c r="F19" s="12" t="s">
        <v>623</v>
      </c>
      <c r="G19"/>
    </row>
    <row r="20" spans="1:7" x14ac:dyDescent="0.25">
      <c r="A20" s="2" t="s">
        <v>346</v>
      </c>
      <c r="B20" s="6">
        <v>1</v>
      </c>
      <c r="C20" s="6" t="s">
        <v>3</v>
      </c>
      <c r="D20" t="s">
        <v>1164</v>
      </c>
      <c r="E20" s="2" t="s">
        <v>3</v>
      </c>
      <c r="F20" s="12" t="s">
        <v>624</v>
      </c>
      <c r="G20"/>
    </row>
    <row r="21" spans="1:7" x14ac:dyDescent="0.25">
      <c r="A21" s="2" t="s">
        <v>347</v>
      </c>
      <c r="B21" s="6">
        <v>1</v>
      </c>
      <c r="C21" s="6" t="s">
        <v>3</v>
      </c>
      <c r="D21" t="s">
        <v>1166</v>
      </c>
      <c r="E21" s="2" t="s">
        <v>3</v>
      </c>
      <c r="F21" s="12" t="s">
        <v>624</v>
      </c>
      <c r="G21"/>
    </row>
    <row r="22" spans="1:7" x14ac:dyDescent="0.25">
      <c r="A22" s="2" t="s">
        <v>383</v>
      </c>
      <c r="B22" s="6">
        <v>1</v>
      </c>
      <c r="C22" s="6" t="s">
        <v>3</v>
      </c>
      <c r="D22" s="12" t="str">
        <f>SearchAccount!D21</f>
        <v>147931040318608</v>
      </c>
      <c r="E22" s="2" t="s">
        <v>3</v>
      </c>
      <c r="F22" s="12" t="s">
        <v>624</v>
      </c>
      <c r="G22"/>
    </row>
    <row r="23" spans="1:7" x14ac:dyDescent="0.25">
      <c r="A23" s="2" t="s">
        <v>204</v>
      </c>
      <c r="B23" s="6">
        <v>1</v>
      </c>
      <c r="C23" s="6" t="s">
        <v>3</v>
      </c>
      <c r="D23" s="13" t="str">
        <f>SearchAccount!D20</f>
        <v>147931021118821</v>
      </c>
      <c r="E23" s="2" t="s">
        <v>3</v>
      </c>
      <c r="F23" s="12" t="s">
        <v>624</v>
      </c>
      <c r="G23"/>
    </row>
    <row r="24" spans="1:7" x14ac:dyDescent="0.25">
      <c r="A24" s="2" t="s">
        <v>211</v>
      </c>
      <c r="B24" s="6">
        <v>1</v>
      </c>
      <c r="C24" s="6" t="s">
        <v>3</v>
      </c>
      <c r="D24" s="19" t="str">
        <f>SearchAccount!D20</f>
        <v>147931021118821</v>
      </c>
      <c r="E24" s="2" t="s">
        <v>3</v>
      </c>
      <c r="F24" s="12" t="s">
        <v>624</v>
      </c>
      <c r="G24"/>
    </row>
    <row r="25" spans="1:7" x14ac:dyDescent="0.25">
      <c r="A25" s="2" t="s">
        <v>213</v>
      </c>
      <c r="B25" s="6">
        <v>1</v>
      </c>
      <c r="C25" s="6" t="s">
        <v>3</v>
      </c>
      <c r="D25" s="13" t="s">
        <v>266</v>
      </c>
      <c r="E25" s="2" t="s">
        <v>3</v>
      </c>
      <c r="F25" s="12" t="s">
        <v>624</v>
      </c>
      <c r="G25"/>
    </row>
    <row r="26" spans="1:7" x14ac:dyDescent="0.25">
      <c r="A26" s="2" t="s">
        <v>216</v>
      </c>
      <c r="B26" s="6">
        <v>1</v>
      </c>
      <c r="C26" s="6" t="s">
        <v>3</v>
      </c>
      <c r="D26" s="13" t="str">
        <f>SearchAccount!D20</f>
        <v>147931021118821</v>
      </c>
      <c r="E26" s="2" t="s">
        <v>3</v>
      </c>
      <c r="F26" s="12" t="s">
        <v>624</v>
      </c>
      <c r="G26"/>
    </row>
    <row r="27" spans="1:7" x14ac:dyDescent="0.25">
      <c r="A27" s="2" t="s">
        <v>219</v>
      </c>
      <c r="B27" s="6">
        <v>1</v>
      </c>
      <c r="C27" s="6" t="s">
        <v>3</v>
      </c>
      <c r="D27" s="13" t="str">
        <f>SearchAccount!D20</f>
        <v>147931021118821</v>
      </c>
      <c r="E27" s="2" t="s">
        <v>3</v>
      </c>
      <c r="F27" s="12" t="s">
        <v>624</v>
      </c>
      <c r="G27"/>
    </row>
    <row r="28" spans="1:7" x14ac:dyDescent="0.25">
      <c r="A28" s="2" t="s">
        <v>222</v>
      </c>
      <c r="B28" s="6">
        <v>1</v>
      </c>
      <c r="C28" s="6" t="s">
        <v>3</v>
      </c>
      <c r="D28" s="13" t="str">
        <f>SearchAccount!D20</f>
        <v>147931021118821</v>
      </c>
      <c r="E28" s="2" t="s">
        <v>3</v>
      </c>
      <c r="F28" s="12" t="s">
        <v>624</v>
      </c>
      <c r="G28"/>
    </row>
    <row r="29" spans="1:7" x14ac:dyDescent="0.25">
      <c r="A29" s="2" t="s">
        <v>226</v>
      </c>
      <c r="B29" s="6">
        <v>1</v>
      </c>
      <c r="C29" s="6" t="s">
        <v>3</v>
      </c>
      <c r="D29" s="19" t="str">
        <f>SearchAccount!D20</f>
        <v>147931021118821</v>
      </c>
      <c r="E29" s="2" t="s">
        <v>3</v>
      </c>
      <c r="F29" s="12" t="s">
        <v>624</v>
      </c>
      <c r="G29"/>
    </row>
    <row r="30" spans="1:7" x14ac:dyDescent="0.25">
      <c r="A30" s="2" t="s">
        <v>395</v>
      </c>
      <c r="B30" s="6">
        <v>1</v>
      </c>
      <c r="C30" s="6" t="s">
        <v>3</v>
      </c>
      <c r="D30" s="12" t="s">
        <v>1171</v>
      </c>
      <c r="E30" s="2" t="s">
        <v>3</v>
      </c>
      <c r="F30" s="2" t="s">
        <v>601</v>
      </c>
      <c r="G30"/>
    </row>
    <row r="31" spans="1:7" x14ac:dyDescent="0.25">
      <c r="A31" s="2" t="s">
        <v>630</v>
      </c>
      <c r="B31" s="6">
        <v>1</v>
      </c>
      <c r="C31" s="6" t="s">
        <v>3</v>
      </c>
      <c r="D31" s="12" t="s">
        <v>893</v>
      </c>
      <c r="E31" s="2" t="s">
        <v>3</v>
      </c>
      <c r="F31" s="2" t="s">
        <v>601</v>
      </c>
      <c r="G31"/>
    </row>
    <row r="32" spans="1:7" x14ac:dyDescent="0.25">
      <c r="A32" s="2" t="s">
        <v>247</v>
      </c>
      <c r="B32" s="6">
        <v>1</v>
      </c>
      <c r="C32" s="6" t="s">
        <v>3</v>
      </c>
      <c r="D32" s="12" t="str">
        <f>D30</f>
        <v>147931143451086</v>
      </c>
      <c r="E32" s="2" t="s">
        <v>3</v>
      </c>
      <c r="F32" s="2" t="s">
        <v>601</v>
      </c>
      <c r="G32"/>
    </row>
    <row r="33" spans="1:7" x14ac:dyDescent="0.25">
      <c r="A33" s="2" t="s">
        <v>270</v>
      </c>
      <c r="B33" s="6">
        <v>1</v>
      </c>
      <c r="C33" s="6" t="s">
        <v>3</v>
      </c>
      <c r="D33" s="12" t="str">
        <f>D30</f>
        <v>147931143451086</v>
      </c>
      <c r="E33" s="2" t="s">
        <v>3</v>
      </c>
      <c r="F33" s="2" t="s">
        <v>601</v>
      </c>
      <c r="G33"/>
    </row>
    <row r="34" spans="1:7" x14ac:dyDescent="0.25">
      <c r="A34" s="2" t="s">
        <v>284</v>
      </c>
      <c r="B34" s="6">
        <v>1</v>
      </c>
      <c r="C34" s="6" t="s">
        <v>3</v>
      </c>
      <c r="D34" s="12" t="str">
        <f>D30</f>
        <v>147931143451086</v>
      </c>
      <c r="E34" s="2" t="s">
        <v>3</v>
      </c>
      <c r="F34" s="2" t="s">
        <v>601</v>
      </c>
      <c r="G34"/>
    </row>
    <row r="35" spans="1:7" x14ac:dyDescent="0.25">
      <c r="A35" s="2" t="s">
        <v>292</v>
      </c>
      <c r="B35" s="6">
        <v>1</v>
      </c>
      <c r="C35" s="6" t="s">
        <v>3</v>
      </c>
      <c r="D35" s="12" t="str">
        <f>D30</f>
        <v>147931143451086</v>
      </c>
      <c r="E35" s="2" t="s">
        <v>3</v>
      </c>
      <c r="F35" s="2" t="s">
        <v>601</v>
      </c>
      <c r="G35"/>
    </row>
    <row r="36" spans="1:7" x14ac:dyDescent="0.25">
      <c r="A36" s="2" t="s">
        <v>294</v>
      </c>
      <c r="B36" s="6">
        <v>1</v>
      </c>
      <c r="C36" s="6" t="s">
        <v>3</v>
      </c>
      <c r="D36" s="12" t="str">
        <f>D30</f>
        <v>147931143451086</v>
      </c>
      <c r="E36" s="2" t="s">
        <v>3</v>
      </c>
      <c r="F36" s="2" t="s">
        <v>601</v>
      </c>
      <c r="G36"/>
    </row>
    <row r="37" spans="1:7" x14ac:dyDescent="0.25">
      <c r="A37" s="2" t="s">
        <v>305</v>
      </c>
      <c r="B37" s="6">
        <v>1</v>
      </c>
      <c r="C37" s="6" t="s">
        <v>3</v>
      </c>
      <c r="D37" s="12" t="str">
        <f>D30</f>
        <v>147931143451086</v>
      </c>
      <c r="E37" s="2" t="s">
        <v>3</v>
      </c>
      <c r="F37" s="2" t="s">
        <v>601</v>
      </c>
      <c r="G37"/>
    </row>
    <row r="38" spans="1:7" x14ac:dyDescent="0.25">
      <c r="A38" s="2" t="s">
        <v>311</v>
      </c>
      <c r="B38" s="6">
        <v>1</v>
      </c>
      <c r="C38" s="6" t="s">
        <v>3</v>
      </c>
      <c r="D38" s="12" t="str">
        <f>D31</f>
        <v>5170223069</v>
      </c>
      <c r="E38" s="2" t="s">
        <v>3</v>
      </c>
      <c r="F38" s="2" t="s">
        <v>601</v>
      </c>
      <c r="G38"/>
    </row>
    <row r="39" spans="1:7" x14ac:dyDescent="0.25">
      <c r="A39" s="2" t="s">
        <v>603</v>
      </c>
      <c r="B39" s="6">
        <v>1</v>
      </c>
      <c r="C39" s="6" t="s">
        <v>3</v>
      </c>
      <c r="D39" s="12" t="s">
        <v>1173</v>
      </c>
      <c r="E39" s="2" t="s">
        <v>3</v>
      </c>
      <c r="F39" s="2" t="s">
        <v>602</v>
      </c>
      <c r="G39"/>
    </row>
    <row r="40" spans="1:7" x14ac:dyDescent="0.25">
      <c r="A40" s="2" t="s">
        <v>321</v>
      </c>
      <c r="B40" s="6">
        <v>1</v>
      </c>
      <c r="C40" s="6" t="s">
        <v>3</v>
      </c>
      <c r="D40" s="30" t="str">
        <f>D39</f>
        <v>147931220542358</v>
      </c>
      <c r="E40" s="2" t="s">
        <v>3</v>
      </c>
      <c r="F40" s="2" t="s">
        <v>602</v>
      </c>
      <c r="G40"/>
    </row>
    <row r="41" spans="1:7" x14ac:dyDescent="0.25">
      <c r="A41" s="2" t="s">
        <v>610</v>
      </c>
      <c r="B41" s="6">
        <v>1</v>
      </c>
      <c r="C41" s="6" t="s">
        <v>3</v>
      </c>
      <c r="D41" s="30" t="str">
        <f>D39</f>
        <v>147931220542358</v>
      </c>
      <c r="E41" s="2" t="s">
        <v>3</v>
      </c>
      <c r="F41" s="2" t="s">
        <v>602</v>
      </c>
      <c r="G41"/>
    </row>
    <row r="42" spans="1:7" x14ac:dyDescent="0.25">
      <c r="A42" s="2" t="s">
        <v>355</v>
      </c>
      <c r="B42" s="6">
        <v>1</v>
      </c>
      <c r="C42" s="6" t="s">
        <v>3</v>
      </c>
      <c r="D42" s="30" t="str">
        <f>D39</f>
        <v>147931220542358</v>
      </c>
      <c r="E42" s="2" t="s">
        <v>3</v>
      </c>
      <c r="F42" s="2" t="s">
        <v>602</v>
      </c>
      <c r="G42"/>
    </row>
    <row r="43" spans="1:7" x14ac:dyDescent="0.25">
      <c r="A43" s="2" t="s">
        <v>365</v>
      </c>
      <c r="B43" s="6">
        <v>1</v>
      </c>
      <c r="C43" s="6" t="s">
        <v>3</v>
      </c>
      <c r="D43" s="30" t="str">
        <f>D39</f>
        <v>147931220542358</v>
      </c>
      <c r="E43" s="2" t="s">
        <v>3</v>
      </c>
      <c r="F43" s="2" t="s">
        <v>602</v>
      </c>
      <c r="G43"/>
    </row>
    <row r="44" spans="1:7" x14ac:dyDescent="0.25">
      <c r="A44" s="2" t="s">
        <v>371</v>
      </c>
      <c r="B44" s="6">
        <v>1</v>
      </c>
      <c r="C44" s="6" t="s">
        <v>3</v>
      </c>
      <c r="D44" s="30" t="str">
        <f>D39</f>
        <v>147931220542358</v>
      </c>
      <c r="E44" s="2" t="s">
        <v>3</v>
      </c>
      <c r="F44" s="2" t="s">
        <v>602</v>
      </c>
      <c r="G44"/>
    </row>
    <row r="45" spans="1:7" x14ac:dyDescent="0.25">
      <c r="A45" s="2" t="s">
        <v>374</v>
      </c>
      <c r="B45" s="6">
        <v>1</v>
      </c>
      <c r="C45" s="6" t="s">
        <v>3</v>
      </c>
      <c r="D45" s="30" t="str">
        <f>D39</f>
        <v>147931220542358</v>
      </c>
      <c r="E45" s="2" t="s">
        <v>3</v>
      </c>
      <c r="F45" s="2" t="s">
        <v>602</v>
      </c>
      <c r="G45"/>
    </row>
    <row r="46" spans="1:7" x14ac:dyDescent="0.25">
      <c r="A46" s="2" t="s">
        <v>376</v>
      </c>
      <c r="B46" s="6">
        <v>1</v>
      </c>
      <c r="C46" s="6" t="s">
        <v>3</v>
      </c>
      <c r="D46" s="30" t="str">
        <f>D39</f>
        <v>147931220542358</v>
      </c>
      <c r="E46" s="2" t="s">
        <v>3</v>
      </c>
      <c r="F46" s="2" t="s">
        <v>602</v>
      </c>
      <c r="G46"/>
    </row>
    <row r="47" spans="1:7" x14ac:dyDescent="0.25">
      <c r="A47" s="2" t="s">
        <v>412</v>
      </c>
      <c r="B47" s="6">
        <v>1</v>
      </c>
      <c r="C47" s="6" t="s">
        <v>3</v>
      </c>
      <c r="D47" s="30" t="str">
        <f>D39</f>
        <v>147931220542358</v>
      </c>
      <c r="E47" s="2" t="s">
        <v>3</v>
      </c>
      <c r="F47" s="2" t="s">
        <v>602</v>
      </c>
      <c r="G47"/>
    </row>
    <row r="48" spans="1:7" x14ac:dyDescent="0.25">
      <c r="A48" s="2" t="s">
        <v>413</v>
      </c>
      <c r="B48" s="6">
        <v>1</v>
      </c>
      <c r="C48" s="6" t="s">
        <v>3</v>
      </c>
      <c r="D48" s="30" t="str">
        <f>D39</f>
        <v>147931220542358</v>
      </c>
      <c r="E48" s="2" t="s">
        <v>3</v>
      </c>
      <c r="F48" s="2" t="s">
        <v>602</v>
      </c>
      <c r="G48"/>
    </row>
    <row r="49" spans="1:7" x14ac:dyDescent="0.25">
      <c r="A49" s="2" t="s">
        <v>414</v>
      </c>
      <c r="B49" s="6">
        <v>1</v>
      </c>
      <c r="C49" s="6" t="s">
        <v>3</v>
      </c>
      <c r="D49" s="30" t="str">
        <f>D39</f>
        <v>147931220542358</v>
      </c>
      <c r="E49" s="2" t="s">
        <v>3</v>
      </c>
      <c r="F49" s="2" t="s">
        <v>602</v>
      </c>
      <c r="G49"/>
    </row>
    <row r="50" spans="1:7" x14ac:dyDescent="0.25">
      <c r="A50" s="2" t="s">
        <v>415</v>
      </c>
      <c r="B50" s="6">
        <v>1</v>
      </c>
      <c r="C50" s="6" t="s">
        <v>3</v>
      </c>
      <c r="D50" t="s">
        <v>1175</v>
      </c>
      <c r="E50" s="2" t="s">
        <v>3</v>
      </c>
      <c r="F50" s="2" t="s">
        <v>501</v>
      </c>
      <c r="G50"/>
    </row>
    <row r="51" spans="1:7" x14ac:dyDescent="0.25">
      <c r="A51" s="2" t="s">
        <v>491</v>
      </c>
      <c r="B51" s="6">
        <v>1</v>
      </c>
      <c r="C51" s="6" t="s">
        <v>3</v>
      </c>
      <c r="D51" s="32" t="s">
        <v>1176</v>
      </c>
      <c r="E51" s="2" t="s">
        <v>3</v>
      </c>
      <c r="F51" s="2" t="s">
        <v>501</v>
      </c>
      <c r="G51"/>
    </row>
    <row r="52" spans="1:7" x14ac:dyDescent="0.25">
      <c r="A52" s="2" t="s">
        <v>1019</v>
      </c>
      <c r="B52" s="6">
        <v>1</v>
      </c>
      <c r="C52" s="6" t="s">
        <v>3</v>
      </c>
      <c r="D52" t="s">
        <v>1177</v>
      </c>
      <c r="E52" s="2" t="s">
        <v>3</v>
      </c>
      <c r="F52" s="2" t="s">
        <v>501</v>
      </c>
      <c r="G52"/>
    </row>
    <row r="53" spans="1:7" x14ac:dyDescent="0.25">
      <c r="A53" s="2" t="s">
        <v>416</v>
      </c>
      <c r="B53" s="6">
        <v>1</v>
      </c>
      <c r="C53" s="6" t="s">
        <v>3</v>
      </c>
      <c r="D53" s="30" t="str">
        <f>D50</f>
        <v>147931292848655</v>
      </c>
      <c r="E53" s="2" t="s">
        <v>3</v>
      </c>
      <c r="F53" s="2" t="s">
        <v>501</v>
      </c>
      <c r="G53"/>
    </row>
    <row r="54" spans="1:7" x14ac:dyDescent="0.25">
      <c r="A54" s="2" t="s">
        <v>417</v>
      </c>
      <c r="B54" s="6">
        <v>1</v>
      </c>
      <c r="C54" s="6" t="s">
        <v>3</v>
      </c>
      <c r="D54" s="30" t="str">
        <f>D50</f>
        <v>147931292848655</v>
      </c>
      <c r="E54" s="2" t="s">
        <v>3</v>
      </c>
      <c r="F54" s="2" t="s">
        <v>501</v>
      </c>
      <c r="G54"/>
    </row>
    <row r="55" spans="1:7" x14ac:dyDescent="0.25">
      <c r="A55" s="2" t="s">
        <v>418</v>
      </c>
      <c r="B55" s="6">
        <v>1</v>
      </c>
      <c r="C55" s="6" t="s">
        <v>3</v>
      </c>
      <c r="D55" s="30" t="str">
        <f>D50</f>
        <v>147931292848655</v>
      </c>
      <c r="E55" s="2" t="s">
        <v>3</v>
      </c>
      <c r="F55" s="2" t="s">
        <v>501</v>
      </c>
      <c r="G55"/>
    </row>
    <row r="56" spans="1:7" x14ac:dyDescent="0.25">
      <c r="A56" s="2" t="s">
        <v>419</v>
      </c>
      <c r="B56" s="6">
        <v>1</v>
      </c>
      <c r="C56" s="6" t="s">
        <v>3</v>
      </c>
      <c r="D56" s="30" t="str">
        <f>D50</f>
        <v>147931292848655</v>
      </c>
      <c r="E56" s="2" t="s">
        <v>3</v>
      </c>
      <c r="F56" s="2" t="s">
        <v>501</v>
      </c>
      <c r="G56"/>
    </row>
    <row r="57" spans="1:7" x14ac:dyDescent="0.25">
      <c r="A57" s="2" t="s">
        <v>420</v>
      </c>
      <c r="B57" s="6">
        <v>1</v>
      </c>
      <c r="C57" s="6" t="s">
        <v>3</v>
      </c>
      <c r="D57" s="30" t="str">
        <f>D50</f>
        <v>147931292848655</v>
      </c>
      <c r="E57" s="2" t="s">
        <v>3</v>
      </c>
      <c r="F57" s="2" t="s">
        <v>501</v>
      </c>
      <c r="G57"/>
    </row>
    <row r="58" spans="1:7" x14ac:dyDescent="0.25">
      <c r="A58" s="2" t="s">
        <v>489</v>
      </c>
      <c r="B58" s="6">
        <v>1</v>
      </c>
      <c r="C58" s="6" t="s">
        <v>3</v>
      </c>
      <c r="D58" s="30" t="str">
        <f>D50</f>
        <v>147931292848655</v>
      </c>
      <c r="E58" s="2" t="s">
        <v>3</v>
      </c>
      <c r="F58" s="2" t="s">
        <v>501</v>
      </c>
      <c r="G58"/>
    </row>
    <row r="59" spans="1:7" x14ac:dyDescent="0.25">
      <c r="A59" s="2" t="s">
        <v>490</v>
      </c>
      <c r="B59" s="6">
        <v>1</v>
      </c>
      <c r="C59" s="6" t="s">
        <v>3</v>
      </c>
      <c r="D59" s="30" t="str">
        <f>SearchAccount!D53</f>
        <v>147931292848655</v>
      </c>
      <c r="E59" s="2" t="s">
        <v>3</v>
      </c>
      <c r="F59" s="2" t="s">
        <v>501</v>
      </c>
      <c r="G59"/>
    </row>
    <row r="60" spans="1:7" x14ac:dyDescent="0.25">
      <c r="A60" s="2" t="s">
        <v>492</v>
      </c>
      <c r="B60" s="6">
        <v>1</v>
      </c>
      <c r="C60" s="6" t="s">
        <v>3</v>
      </c>
      <c r="D60" s="30" t="str">
        <f>D51</f>
        <v>147931301631046</v>
      </c>
      <c r="E60" s="2" t="s">
        <v>3</v>
      </c>
      <c r="F60" s="2" t="s">
        <v>501</v>
      </c>
      <c r="G60"/>
    </row>
    <row r="61" spans="1:7" x14ac:dyDescent="0.25">
      <c r="A61" s="2" t="s">
        <v>1011</v>
      </c>
      <c r="B61" s="6">
        <v>1</v>
      </c>
      <c r="C61" s="6" t="s">
        <v>3</v>
      </c>
      <c r="D61" s="30" t="str">
        <f>D51</f>
        <v>147931301631046</v>
      </c>
      <c r="E61" s="2" t="s">
        <v>3</v>
      </c>
      <c r="F61" s="2" t="s">
        <v>501</v>
      </c>
      <c r="G61"/>
    </row>
    <row r="62" spans="1:7" x14ac:dyDescent="0.25">
      <c r="A62" s="2" t="s">
        <v>1018</v>
      </c>
      <c r="B62" s="6">
        <v>1</v>
      </c>
      <c r="C62" s="6" t="s">
        <v>3</v>
      </c>
      <c r="D62" s="30" t="str">
        <f>D52</f>
        <v>147931309933228</v>
      </c>
      <c r="E62" s="2" t="s">
        <v>3</v>
      </c>
      <c r="F62" s="2" t="s">
        <v>501</v>
      </c>
      <c r="G62"/>
    </row>
    <row r="63" spans="1:7" x14ac:dyDescent="0.25">
      <c r="A63" s="2" t="s">
        <v>1023</v>
      </c>
      <c r="B63" s="6">
        <v>1</v>
      </c>
      <c r="C63" s="6" t="s">
        <v>3</v>
      </c>
      <c r="D63" s="30" t="str">
        <f>D52</f>
        <v>147931309933228</v>
      </c>
      <c r="E63" s="2" t="s">
        <v>3</v>
      </c>
      <c r="F63" s="2" t="s">
        <v>501</v>
      </c>
      <c r="G63"/>
    </row>
    <row r="64" spans="1:7" x14ac:dyDescent="0.25">
      <c r="A64" s="2" t="s">
        <v>574</v>
      </c>
      <c r="B64" s="6">
        <v>1</v>
      </c>
      <c r="C64" s="6" t="s">
        <v>3</v>
      </c>
      <c r="D64" s="30">
        <f>CreateAccount!C21</f>
        <v>0</v>
      </c>
      <c r="E64" s="2" t="s">
        <v>3</v>
      </c>
      <c r="F64" s="2" t="s">
        <v>621</v>
      </c>
      <c r="G64"/>
    </row>
    <row r="65" spans="1:7" x14ac:dyDescent="0.25">
      <c r="A65" s="2" t="s">
        <v>575</v>
      </c>
      <c r="B65" s="6">
        <v>1</v>
      </c>
      <c r="C65" s="6" t="s">
        <v>3</v>
      </c>
      <c r="D65" s="30">
        <f>SearchAccount!D64</f>
        <v>0</v>
      </c>
      <c r="E65" s="2" t="s">
        <v>3</v>
      </c>
      <c r="F65" s="2" t="s">
        <v>621</v>
      </c>
      <c r="G65"/>
    </row>
    <row r="66" spans="1:7" x14ac:dyDescent="0.25">
      <c r="A66" s="2" t="s">
        <v>576</v>
      </c>
      <c r="B66" s="6">
        <v>1</v>
      </c>
      <c r="C66" s="6" t="s">
        <v>3</v>
      </c>
      <c r="D66" s="32" t="s">
        <v>653</v>
      </c>
      <c r="E66" s="2" t="s">
        <v>3</v>
      </c>
      <c r="F66" s="2" t="s">
        <v>648</v>
      </c>
      <c r="G66"/>
    </row>
    <row r="67" spans="1:7" x14ac:dyDescent="0.25">
      <c r="A67" s="2" t="s">
        <v>735</v>
      </c>
      <c r="B67" s="6">
        <v>1</v>
      </c>
      <c r="C67" s="6" t="s">
        <v>3</v>
      </c>
      <c r="D67" t="s">
        <v>1178</v>
      </c>
      <c r="E67" s="2" t="s">
        <v>3</v>
      </c>
      <c r="F67" s="2" t="s">
        <v>697</v>
      </c>
      <c r="G67"/>
    </row>
    <row r="68" spans="1:7" x14ac:dyDescent="0.25">
      <c r="A68" s="2" t="s">
        <v>849</v>
      </c>
      <c r="B68" s="6">
        <v>1</v>
      </c>
      <c r="C68" s="6" t="s">
        <v>3</v>
      </c>
      <c r="D68" t="s">
        <v>1179</v>
      </c>
      <c r="E68" s="2" t="s">
        <v>3</v>
      </c>
      <c r="F68" s="2" t="s">
        <v>697</v>
      </c>
      <c r="G68"/>
    </row>
    <row r="69" spans="1:7" x14ac:dyDescent="0.25">
      <c r="A69" s="2" t="s">
        <v>752</v>
      </c>
      <c r="B69" s="6">
        <v>1</v>
      </c>
      <c r="C69" s="6" t="s">
        <v>3</v>
      </c>
      <c r="D69" t="s">
        <v>1010</v>
      </c>
      <c r="E69" s="2" t="s">
        <v>3</v>
      </c>
      <c r="F69" s="2" t="s">
        <v>697</v>
      </c>
      <c r="G69"/>
    </row>
    <row r="70" spans="1:7" x14ac:dyDescent="0.25">
      <c r="A70" s="2" t="s">
        <v>917</v>
      </c>
      <c r="B70" s="6">
        <v>1</v>
      </c>
      <c r="C70" s="6" t="s">
        <v>3</v>
      </c>
      <c r="D70" t="s">
        <v>1010</v>
      </c>
      <c r="E70" s="2" t="s">
        <v>3</v>
      </c>
      <c r="F70" s="2" t="s">
        <v>697</v>
      </c>
      <c r="G70"/>
    </row>
    <row r="71" spans="1:7" x14ac:dyDescent="0.25">
      <c r="A71" s="2" t="s">
        <v>918</v>
      </c>
      <c r="B71" s="6">
        <v>1</v>
      </c>
      <c r="C71" s="6" t="s">
        <v>3</v>
      </c>
      <c r="D71" s="56" t="s">
        <v>1150</v>
      </c>
      <c r="E71" s="2" t="s">
        <v>3</v>
      </c>
      <c r="F71" s="2" t="s">
        <v>1040</v>
      </c>
      <c r="G71"/>
    </row>
    <row r="72" spans="1:7" x14ac:dyDescent="0.25">
      <c r="A72" s="2" t="s">
        <v>1096</v>
      </c>
      <c r="B72" s="6">
        <v>1</v>
      </c>
      <c r="C72" s="6" t="s">
        <v>3</v>
      </c>
      <c r="D72" t="str">
        <f>D71</f>
        <v>147921805248554</v>
      </c>
      <c r="E72" s="2" t="s">
        <v>3</v>
      </c>
      <c r="F72" s="2" t="s">
        <v>1040</v>
      </c>
      <c r="G72"/>
    </row>
    <row r="73" spans="1:7" x14ac:dyDescent="0.25">
      <c r="A73" s="2" t="s">
        <v>1102</v>
      </c>
      <c r="B73" s="6">
        <v>1</v>
      </c>
      <c r="C73" s="6" t="s">
        <v>3</v>
      </c>
      <c r="D73" t="str">
        <f t="shared" ref="D73" si="0">D72</f>
        <v>147921805248554</v>
      </c>
      <c r="E73" s="2" t="s">
        <v>3</v>
      </c>
      <c r="F73" s="2" t="s">
        <v>1040</v>
      </c>
      <c r="G73"/>
    </row>
    <row r="74" spans="1:7" x14ac:dyDescent="0.25">
      <c r="A74" s="2" t="s">
        <v>1103</v>
      </c>
      <c r="B74" s="6">
        <v>1</v>
      </c>
      <c r="C74" s="6" t="s">
        <v>3</v>
      </c>
      <c r="D74" t="str">
        <f>D71</f>
        <v>147921805248554</v>
      </c>
      <c r="E74" s="2" t="s">
        <v>3</v>
      </c>
      <c r="F74" s="2" t="s">
        <v>1040</v>
      </c>
      <c r="G74"/>
    </row>
    <row r="75" spans="1:7" x14ac:dyDescent="0.25">
      <c r="A75" s="2" t="s">
        <v>1104</v>
      </c>
      <c r="B75" s="6">
        <v>1</v>
      </c>
      <c r="C75" s="6" t="s">
        <v>3</v>
      </c>
      <c r="D75" t="s">
        <v>1198</v>
      </c>
      <c r="E75" s="2" t="s">
        <v>3</v>
      </c>
      <c r="F75" s="60" t="s">
        <v>1192</v>
      </c>
      <c r="G75"/>
    </row>
    <row r="76" spans="1:7" x14ac:dyDescent="0.25">
      <c r="A76" s="2" t="s">
        <v>1105</v>
      </c>
      <c r="B76" s="6">
        <v>1</v>
      </c>
      <c r="C76" s="6" t="s">
        <v>3</v>
      </c>
      <c r="D76" t="str">
        <f>D75</f>
        <v>147939251573782</v>
      </c>
      <c r="E76" s="2" t="s">
        <v>3</v>
      </c>
      <c r="F76" s="60" t="s">
        <v>1192</v>
      </c>
      <c r="G76"/>
    </row>
    <row r="77" spans="1:7" x14ac:dyDescent="0.25">
      <c r="A77" s="2" t="s">
        <v>1106</v>
      </c>
      <c r="B77" s="6">
        <v>1</v>
      </c>
      <c r="C77" s="6" t="s">
        <v>3</v>
      </c>
      <c r="D77" t="str">
        <f>D75</f>
        <v>147939251573782</v>
      </c>
      <c r="E77" s="2" t="s">
        <v>3</v>
      </c>
      <c r="F77" s="60" t="s">
        <v>1192</v>
      </c>
      <c r="G77"/>
    </row>
    <row r="78" spans="1:7" x14ac:dyDescent="0.25">
      <c r="A78" s="2" t="s">
        <v>1107</v>
      </c>
      <c r="B78" s="6">
        <v>1</v>
      </c>
      <c r="C78" s="6" t="s">
        <v>3</v>
      </c>
      <c r="D78"/>
      <c r="E78" s="2" t="s">
        <v>3</v>
      </c>
      <c r="F78"/>
      <c r="G78"/>
    </row>
    <row r="79" spans="1:7" x14ac:dyDescent="0.25">
      <c r="A79" s="2" t="s">
        <v>1108</v>
      </c>
      <c r="B79" s="6">
        <v>1</v>
      </c>
      <c r="C79" s="6" t="s">
        <v>3</v>
      </c>
      <c r="D79"/>
      <c r="E79" s="2" t="s">
        <v>3</v>
      </c>
      <c r="F79"/>
      <c r="G79"/>
    </row>
    <row r="80" spans="1:7" x14ac:dyDescent="0.25">
      <c r="A80" s="2" t="s">
        <v>1109</v>
      </c>
      <c r="B80" s="6">
        <v>1</v>
      </c>
      <c r="C80" s="6" t="s">
        <v>3</v>
      </c>
      <c r="D80"/>
      <c r="E80" s="2" t="s">
        <v>3</v>
      </c>
      <c r="F80"/>
      <c r="G80"/>
    </row>
    <row r="81" spans="1:7" x14ac:dyDescent="0.25">
      <c r="A81" s="2" t="s">
        <v>1110</v>
      </c>
      <c r="B81" s="6">
        <v>1</v>
      </c>
      <c r="C81" s="6" t="s">
        <v>3</v>
      </c>
      <c r="D81"/>
      <c r="E81" s="2" t="s">
        <v>3</v>
      </c>
      <c r="F81"/>
      <c r="G81"/>
    </row>
    <row r="82" spans="1:7" x14ac:dyDescent="0.25">
      <c r="A82" s="2" t="s">
        <v>1111</v>
      </c>
      <c r="B82" s="6">
        <v>1</v>
      </c>
      <c r="C82" s="6" t="s">
        <v>3</v>
      </c>
      <c r="D82"/>
      <c r="E82" s="2" t="s">
        <v>3</v>
      </c>
      <c r="F82"/>
      <c r="G82"/>
    </row>
    <row r="83" spans="1:7" x14ac:dyDescent="0.25">
      <c r="A83" s="2" t="s">
        <v>1112</v>
      </c>
      <c r="B83" s="6">
        <v>1</v>
      </c>
      <c r="C83" s="6" t="s">
        <v>3</v>
      </c>
      <c r="D83"/>
      <c r="E83" s="2" t="s">
        <v>3</v>
      </c>
      <c r="F83"/>
      <c r="G83"/>
    </row>
    <row r="84" spans="1:7" x14ac:dyDescent="0.25">
      <c r="A84" s="2" t="s">
        <v>1113</v>
      </c>
      <c r="B84" s="6">
        <v>1</v>
      </c>
      <c r="C84" s="6" t="s">
        <v>3</v>
      </c>
      <c r="D84"/>
      <c r="E84" s="2" t="s">
        <v>3</v>
      </c>
      <c r="F84"/>
      <c r="G84"/>
    </row>
    <row r="85" spans="1:7" x14ac:dyDescent="0.25">
      <c r="A85" s="2" t="s">
        <v>1114</v>
      </c>
      <c r="B85" s="6">
        <v>1</v>
      </c>
      <c r="C85" s="6" t="s">
        <v>3</v>
      </c>
      <c r="D85"/>
      <c r="E85" s="2" t="s">
        <v>3</v>
      </c>
      <c r="F85"/>
      <c r="G85"/>
    </row>
    <row r="86" spans="1:7" x14ac:dyDescent="0.25">
      <c r="A86" s="2" t="s">
        <v>1115</v>
      </c>
      <c r="B86" s="6">
        <v>1</v>
      </c>
      <c r="C86" s="6" t="s">
        <v>3</v>
      </c>
      <c r="D86"/>
      <c r="E86" s="2" t="s">
        <v>3</v>
      </c>
      <c r="F86"/>
      <c r="G86"/>
    </row>
    <row r="87" spans="1:7" x14ac:dyDescent="0.25">
      <c r="A87" s="2" t="s">
        <v>1116</v>
      </c>
      <c r="B87" s="6">
        <v>1</v>
      </c>
      <c r="C87" s="6" t="s">
        <v>3</v>
      </c>
      <c r="D87"/>
      <c r="E87" s="2" t="s">
        <v>3</v>
      </c>
      <c r="F87"/>
      <c r="G87"/>
    </row>
    <row r="88" spans="1:7" x14ac:dyDescent="0.25">
      <c r="A88" s="2" t="s">
        <v>1117</v>
      </c>
      <c r="B88" s="6">
        <v>1</v>
      </c>
      <c r="C88" s="6" t="s">
        <v>3</v>
      </c>
      <c r="D88"/>
      <c r="E88" s="2" t="s">
        <v>3</v>
      </c>
      <c r="F88"/>
      <c r="G88"/>
    </row>
    <row r="89" spans="1:7" x14ac:dyDescent="0.25">
      <c r="A89" s="2" t="s">
        <v>1118</v>
      </c>
      <c r="B89" s="6">
        <v>1</v>
      </c>
      <c r="C89" s="6" t="s">
        <v>3</v>
      </c>
      <c r="D89"/>
      <c r="E89" s="2" t="s">
        <v>3</v>
      </c>
      <c r="F89"/>
      <c r="G89"/>
    </row>
    <row r="90" spans="1:7" x14ac:dyDescent="0.25">
      <c r="A90" s="2" t="s">
        <v>1119</v>
      </c>
      <c r="B90" s="6">
        <v>1</v>
      </c>
      <c r="C90" s="6" t="s">
        <v>3</v>
      </c>
      <c r="D90"/>
      <c r="E90" s="2" t="s">
        <v>3</v>
      </c>
      <c r="F90"/>
      <c r="G90"/>
    </row>
    <row r="91" spans="1:7" x14ac:dyDescent="0.25">
      <c r="A91" s="2" t="s">
        <v>1120</v>
      </c>
      <c r="B91" s="6">
        <v>1</v>
      </c>
      <c r="C91" s="6" t="s">
        <v>3</v>
      </c>
      <c r="D91"/>
      <c r="E91" s="2" t="s">
        <v>3</v>
      </c>
      <c r="F91"/>
      <c r="G91"/>
    </row>
    <row r="92" spans="1:7" x14ac:dyDescent="0.25">
      <c r="A92" s="2" t="s">
        <v>1121</v>
      </c>
      <c r="B92" s="6">
        <v>1</v>
      </c>
      <c r="C92" s="6" t="s">
        <v>3</v>
      </c>
      <c r="D92"/>
      <c r="E92" s="2" t="s">
        <v>3</v>
      </c>
      <c r="F92"/>
      <c r="G92"/>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E2"/>
  <sheetViews>
    <sheetView zoomScale="85" zoomScaleNormal="85" workbookViewId="0">
      <selection sqref="A1:E2"/>
    </sheetView>
  </sheetViews>
  <sheetFormatPr defaultRowHeight="15" x14ac:dyDescent="0.25"/>
  <cols>
    <col min="1" max="1" width="6.140625" style="57" customWidth="1" collapsed="1"/>
    <col min="2" max="2" width="8.7109375" style="57" bestFit="1" customWidth="1" collapsed="1"/>
    <col min="3" max="3" width="11.5703125" style="57" bestFit="1" customWidth="1" collapsed="1"/>
    <col min="4" max="4" width="18.42578125" style="57" bestFit="1" customWidth="1" collapsed="1"/>
    <col min="5" max="5" width="17.28515625" style="57" bestFit="1" customWidth="1" collapsed="1"/>
    <col min="6" max="16384" width="9.140625" style="57" collapsed="1"/>
  </cols>
  <sheetData>
    <row r="1" spans="1:5" x14ac:dyDescent="0.25">
      <c r="A1" s="9" t="s">
        <v>0</v>
      </c>
      <c r="B1" s="5" t="s">
        <v>20</v>
      </c>
      <c r="C1" s="5" t="s">
        <v>1041</v>
      </c>
      <c r="D1" s="5" t="s">
        <v>1042</v>
      </c>
      <c r="E1" s="5" t="s">
        <v>118</v>
      </c>
    </row>
    <row r="2" spans="1:5" x14ac:dyDescent="0.25">
      <c r="A2" s="4" t="s">
        <v>918</v>
      </c>
      <c r="B2" s="4">
        <v>1</v>
      </c>
      <c r="C2" s="4" t="s">
        <v>3</v>
      </c>
      <c r="D2" s="4">
        <v>11111111111</v>
      </c>
      <c r="E2" s="4" t="s">
        <v>3</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BG37"/>
  <sheetViews>
    <sheetView zoomScale="85" zoomScaleNormal="85" workbookViewId="0">
      <pane xSplit="2" ySplit="1" topLeftCell="C8" activePane="bottomRight" state="frozen"/>
      <selection pane="topRight" activeCell="C1" sqref="C1"/>
      <selection pane="bottomLeft" activeCell="A2" sqref="A2"/>
      <selection pane="bottomRight" activeCell="G36" sqref="G36"/>
    </sheetView>
  </sheetViews>
  <sheetFormatPr defaultRowHeight="15" x14ac:dyDescent="0.25"/>
  <cols>
    <col min="1" max="1" width="5.140625" style="14" bestFit="1" customWidth="1" collapsed="1"/>
    <col min="2" max="2" width="8.7109375" style="14" bestFit="1" customWidth="1" collapsed="1"/>
    <col min="3" max="4" width="8.7109375" style="14" customWidth="1" collapsed="1"/>
    <col min="5" max="6" width="12.7109375" style="14" customWidth="1" collapsed="1"/>
    <col min="7" max="7" width="8.7109375" style="14" customWidth="1" collapsed="1"/>
    <col min="8" max="8" width="12.5703125" style="14" bestFit="1" customWidth="1" collapsed="1"/>
    <col min="9" max="9" width="16.140625" style="14" bestFit="1" customWidth="1" collapsed="1"/>
    <col min="10" max="10" width="19.42578125" style="14" bestFit="1" customWidth="1" collapsed="1"/>
    <col min="11" max="16" width="19.42578125" style="14" customWidth="1" collapsed="1"/>
    <col min="17" max="17" width="12.7109375" style="14" customWidth="1" collapsed="1"/>
    <col min="18" max="18" width="12.7109375" style="14" bestFit="1" customWidth="1" collapsed="1"/>
    <col min="19" max="23" width="12.7109375" style="14" customWidth="1" collapsed="1"/>
    <col min="24" max="24" width="211.5703125" style="14" bestFit="1" customWidth="1" collapsed="1"/>
    <col min="25" max="16384" width="9.140625" style="14" collapsed="1"/>
  </cols>
  <sheetData>
    <row r="1" spans="1:59" x14ac:dyDescent="0.25">
      <c r="A1" s="9" t="s">
        <v>0</v>
      </c>
      <c r="B1" s="9" t="s">
        <v>20</v>
      </c>
      <c r="C1" s="9" t="s">
        <v>1141</v>
      </c>
      <c r="D1" s="9" t="s">
        <v>1079</v>
      </c>
      <c r="E1" s="9" t="s">
        <v>1080</v>
      </c>
      <c r="F1" s="9" t="s">
        <v>1133</v>
      </c>
      <c r="G1" s="9" t="s">
        <v>1160</v>
      </c>
      <c r="H1" s="9" t="s">
        <v>1045</v>
      </c>
      <c r="I1" s="9" t="s">
        <v>1047</v>
      </c>
      <c r="J1" s="9" t="s">
        <v>1048</v>
      </c>
      <c r="K1" s="9" t="s">
        <v>1065</v>
      </c>
      <c r="L1" s="9" t="s">
        <v>1066</v>
      </c>
      <c r="M1" s="9" t="s">
        <v>1067</v>
      </c>
      <c r="N1" s="9" t="s">
        <v>1068</v>
      </c>
      <c r="O1" s="9" t="s">
        <v>1092</v>
      </c>
      <c r="P1" s="9" t="s">
        <v>1135</v>
      </c>
      <c r="Q1" s="9" t="s">
        <v>1127</v>
      </c>
      <c r="R1" s="9" t="s">
        <v>1049</v>
      </c>
      <c r="S1" s="9" t="s">
        <v>1129</v>
      </c>
      <c r="T1" s="9" t="s">
        <v>1078</v>
      </c>
      <c r="U1" s="9" t="s">
        <v>1081</v>
      </c>
      <c r="V1" s="9" t="s">
        <v>1130</v>
      </c>
      <c r="W1" s="9" t="s">
        <v>62</v>
      </c>
      <c r="X1" s="9" t="s">
        <v>255</v>
      </c>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row>
    <row r="2" spans="1:59" x14ac:dyDescent="0.25">
      <c r="A2" s="2" t="s">
        <v>917</v>
      </c>
      <c r="B2" s="2">
        <v>1</v>
      </c>
      <c r="C2" s="2"/>
      <c r="D2" s="2"/>
      <c r="E2" s="2"/>
      <c r="F2" s="2"/>
      <c r="G2" s="2"/>
      <c r="H2" s="2" t="s">
        <v>3</v>
      </c>
      <c r="I2" s="2" t="s">
        <v>3</v>
      </c>
      <c r="J2" s="2" t="s">
        <v>3</v>
      </c>
      <c r="K2" s="2" t="s">
        <v>1069</v>
      </c>
      <c r="L2" s="2" t="s">
        <v>1128</v>
      </c>
      <c r="M2" s="2">
        <v>123456789</v>
      </c>
      <c r="N2" s="2" t="s">
        <v>33</v>
      </c>
      <c r="O2" s="2"/>
      <c r="P2" s="2"/>
      <c r="Q2" s="2"/>
      <c r="R2" s="2" t="s">
        <v>3</v>
      </c>
      <c r="S2" s="2"/>
      <c r="T2" s="2"/>
      <c r="U2" s="2"/>
      <c r="V2" s="2"/>
      <c r="W2" s="2"/>
      <c r="X2" s="2"/>
    </row>
    <row r="3" spans="1:59" x14ac:dyDescent="0.25">
      <c r="A3" s="2" t="s">
        <v>918</v>
      </c>
      <c r="B3" s="2">
        <v>1</v>
      </c>
      <c r="C3" s="2"/>
      <c r="D3" s="2"/>
      <c r="E3" s="2"/>
      <c r="F3" s="2"/>
      <c r="G3" s="2"/>
      <c r="H3" s="2" t="s">
        <v>3</v>
      </c>
      <c r="I3" s="2" t="s">
        <v>3</v>
      </c>
      <c r="J3" s="2" t="s">
        <v>3</v>
      </c>
      <c r="K3" s="2"/>
      <c r="L3" s="2"/>
      <c r="M3" s="2"/>
      <c r="N3" s="2"/>
      <c r="O3" s="2"/>
      <c r="P3" s="2"/>
      <c r="Q3" s="2"/>
      <c r="R3" s="2" t="s">
        <v>3</v>
      </c>
      <c r="S3" s="2"/>
      <c r="T3" s="2"/>
      <c r="U3" s="2"/>
      <c r="V3" s="2"/>
      <c r="W3" s="2"/>
      <c r="X3" s="2" t="s">
        <v>1072</v>
      </c>
    </row>
    <row r="4" spans="1:59" x14ac:dyDescent="0.25">
      <c r="A4" s="2" t="s">
        <v>918</v>
      </c>
      <c r="B4" s="2">
        <v>2</v>
      </c>
      <c r="C4" s="2"/>
      <c r="D4" s="2"/>
      <c r="E4" s="2"/>
      <c r="F4" s="2"/>
      <c r="G4" s="2"/>
      <c r="H4" s="2"/>
      <c r="I4" s="2"/>
      <c r="J4" s="2"/>
      <c r="K4" s="2" t="s">
        <v>1098</v>
      </c>
      <c r="L4" s="2" t="s">
        <v>1069</v>
      </c>
      <c r="M4" s="2">
        <v>123456789</v>
      </c>
      <c r="N4" s="2" t="s">
        <v>1074</v>
      </c>
      <c r="O4" s="2"/>
      <c r="P4" s="2"/>
      <c r="Q4" s="2"/>
      <c r="R4" s="2" t="s">
        <v>3</v>
      </c>
      <c r="S4" s="2"/>
      <c r="T4" s="2"/>
      <c r="U4" s="2"/>
      <c r="V4" s="2"/>
      <c r="W4" s="2"/>
      <c r="X4" s="2" t="s">
        <v>1073</v>
      </c>
    </row>
    <row r="5" spans="1:59" x14ac:dyDescent="0.25">
      <c r="A5" s="2" t="s">
        <v>918</v>
      </c>
      <c r="B5" s="2">
        <v>3</v>
      </c>
      <c r="C5" s="2"/>
      <c r="D5" s="2"/>
      <c r="E5" s="2"/>
      <c r="F5" s="2"/>
      <c r="G5" s="2"/>
      <c r="H5" s="2"/>
      <c r="I5" s="2"/>
      <c r="J5" s="2"/>
      <c r="K5" s="2"/>
      <c r="L5" s="2"/>
      <c r="M5" s="2" t="s">
        <v>1077</v>
      </c>
      <c r="N5" s="2" t="s">
        <v>1075</v>
      </c>
      <c r="O5" s="2"/>
      <c r="P5" s="2"/>
      <c r="Q5" s="2"/>
      <c r="R5" s="2" t="s">
        <v>3</v>
      </c>
      <c r="S5" s="2"/>
      <c r="T5" s="2"/>
      <c r="U5" s="2"/>
      <c r="V5" s="2"/>
      <c r="W5" s="2"/>
      <c r="X5" s="2" t="s">
        <v>1076</v>
      </c>
    </row>
    <row r="6" spans="1:59" x14ac:dyDescent="0.25">
      <c r="A6" s="2" t="s">
        <v>918</v>
      </c>
      <c r="B6" s="2">
        <v>4</v>
      </c>
      <c r="C6" s="2"/>
      <c r="D6" s="2"/>
      <c r="E6" s="2"/>
      <c r="F6" s="2"/>
      <c r="G6" s="2"/>
      <c r="H6" s="2"/>
      <c r="I6" s="2"/>
      <c r="J6" s="2"/>
      <c r="K6" s="2"/>
      <c r="L6" s="2"/>
      <c r="M6" s="2">
        <v>123456789</v>
      </c>
      <c r="N6" s="2" t="s">
        <v>33</v>
      </c>
      <c r="O6" s="59" t="s">
        <v>1149</v>
      </c>
      <c r="P6" s="2"/>
      <c r="Q6" s="2"/>
      <c r="R6" s="2" t="s">
        <v>3</v>
      </c>
      <c r="S6" s="2"/>
      <c r="T6" s="2" t="s">
        <v>3</v>
      </c>
      <c r="U6" s="2"/>
      <c r="V6" s="2"/>
      <c r="W6" s="2"/>
      <c r="X6" s="2"/>
    </row>
    <row r="7" spans="1:59" x14ac:dyDescent="0.25">
      <c r="A7" s="2" t="s">
        <v>918</v>
      </c>
      <c r="B7" s="2">
        <v>5</v>
      </c>
      <c r="C7" s="2"/>
      <c r="D7" s="2"/>
      <c r="E7" s="2"/>
      <c r="F7" s="2"/>
      <c r="G7" s="2"/>
      <c r="H7" s="2"/>
      <c r="I7" s="2"/>
      <c r="J7" s="2"/>
      <c r="K7" s="2"/>
      <c r="L7" s="2"/>
      <c r="M7" s="2"/>
      <c r="N7" s="2"/>
      <c r="O7" s="2"/>
      <c r="P7" s="2"/>
      <c r="Q7" s="2"/>
      <c r="R7" s="2"/>
      <c r="S7" s="2"/>
      <c r="T7" s="2"/>
      <c r="U7" s="2"/>
      <c r="V7" s="2"/>
      <c r="W7" s="2"/>
      <c r="X7" s="2" t="s">
        <v>1100</v>
      </c>
    </row>
    <row r="8" spans="1:59" x14ac:dyDescent="0.25">
      <c r="A8" s="2" t="s">
        <v>918</v>
      </c>
      <c r="B8" s="2">
        <v>6</v>
      </c>
      <c r="C8" s="2"/>
      <c r="D8" s="2" t="s">
        <v>3</v>
      </c>
      <c r="E8" s="2"/>
      <c r="F8" s="2"/>
      <c r="G8" s="2"/>
      <c r="H8" s="2"/>
      <c r="I8" s="2"/>
      <c r="J8" s="2"/>
      <c r="K8" s="2"/>
      <c r="L8" s="2"/>
      <c r="M8" s="2" t="s">
        <v>1077</v>
      </c>
      <c r="N8" s="2" t="s">
        <v>1075</v>
      </c>
      <c r="O8" s="2"/>
      <c r="P8" s="2"/>
      <c r="Q8" s="2"/>
      <c r="R8" s="2"/>
      <c r="S8" s="2"/>
      <c r="T8" s="2"/>
      <c r="U8" s="2" t="s">
        <v>3</v>
      </c>
      <c r="V8" s="2"/>
      <c r="W8" s="2"/>
      <c r="X8" s="2" t="s">
        <v>1082</v>
      </c>
    </row>
    <row r="9" spans="1:59" x14ac:dyDescent="0.25">
      <c r="A9" s="2" t="s">
        <v>918</v>
      </c>
      <c r="B9" s="2">
        <v>7</v>
      </c>
      <c r="C9" s="2"/>
      <c r="D9" s="2"/>
      <c r="E9" s="2"/>
      <c r="F9" s="2"/>
      <c r="G9" s="2"/>
      <c r="H9" s="2"/>
      <c r="I9" s="2"/>
      <c r="J9" s="2"/>
      <c r="K9" s="2" t="s">
        <v>1086</v>
      </c>
      <c r="L9" s="2" t="s">
        <v>1087</v>
      </c>
      <c r="M9" s="2">
        <v>123456789</v>
      </c>
      <c r="N9" s="2" t="s">
        <v>33</v>
      </c>
      <c r="O9" s="2"/>
      <c r="P9" s="2"/>
      <c r="Q9" s="2"/>
      <c r="R9" s="2"/>
      <c r="S9" s="2"/>
      <c r="T9" s="2"/>
      <c r="U9" s="2" t="s">
        <v>3</v>
      </c>
      <c r="V9" s="2"/>
      <c r="W9" s="2"/>
      <c r="X9" s="2" t="s">
        <v>1088</v>
      </c>
    </row>
    <row r="10" spans="1:59" x14ac:dyDescent="0.25">
      <c r="A10" s="2" t="s">
        <v>918</v>
      </c>
      <c r="B10" s="2">
        <v>8</v>
      </c>
      <c r="C10" s="2"/>
      <c r="D10" s="2"/>
      <c r="E10" s="2"/>
      <c r="F10" s="2"/>
      <c r="G10" s="2"/>
      <c r="H10" s="2"/>
      <c r="I10" s="2"/>
      <c r="J10" s="2"/>
      <c r="K10" s="2" t="s">
        <v>1098</v>
      </c>
      <c r="L10" s="2" t="s">
        <v>1069</v>
      </c>
      <c r="M10" s="2"/>
      <c r="N10" s="2"/>
      <c r="O10" s="59" t="s">
        <v>1095</v>
      </c>
      <c r="P10" s="59"/>
      <c r="Q10" s="2"/>
      <c r="R10" s="2"/>
      <c r="S10" s="2"/>
      <c r="T10" s="2"/>
      <c r="U10" s="2" t="s">
        <v>3</v>
      </c>
      <c r="V10" s="2"/>
      <c r="W10" s="2"/>
      <c r="X10" s="2" t="s">
        <v>1089</v>
      </c>
    </row>
    <row r="11" spans="1:59" x14ac:dyDescent="0.25">
      <c r="A11" s="2" t="s">
        <v>918</v>
      </c>
      <c r="B11" s="2">
        <v>9</v>
      </c>
      <c r="C11" s="2"/>
      <c r="D11" s="2"/>
      <c r="E11" s="2"/>
      <c r="F11" s="2"/>
      <c r="G11" s="2"/>
      <c r="H11" s="2"/>
      <c r="I11" s="2"/>
      <c r="J11" s="2"/>
      <c r="K11" s="2"/>
      <c r="L11" s="2"/>
      <c r="M11" s="2"/>
      <c r="N11" s="2"/>
      <c r="O11" s="59" t="s">
        <v>1093</v>
      </c>
      <c r="P11" s="59"/>
      <c r="Q11" s="2"/>
      <c r="R11" s="2"/>
      <c r="S11" s="2"/>
      <c r="T11" s="2"/>
      <c r="U11" s="2" t="s">
        <v>3</v>
      </c>
      <c r="V11" s="2"/>
      <c r="W11" s="2"/>
      <c r="X11" s="2" t="s">
        <v>1091</v>
      </c>
    </row>
    <row r="12" spans="1:59" x14ac:dyDescent="0.25">
      <c r="A12" s="2" t="s">
        <v>918</v>
      </c>
      <c r="B12" s="2">
        <v>10</v>
      </c>
      <c r="C12" s="2"/>
      <c r="D12" s="2"/>
      <c r="E12" s="2"/>
      <c r="F12" s="2"/>
      <c r="G12" s="2"/>
      <c r="H12" s="2"/>
      <c r="I12" s="2"/>
      <c r="J12" s="2"/>
      <c r="K12" s="2"/>
      <c r="L12" s="2"/>
      <c r="M12" s="2"/>
      <c r="N12" s="2"/>
      <c r="O12" s="59" t="s">
        <v>1094</v>
      </c>
      <c r="P12" s="59"/>
      <c r="Q12" s="2"/>
      <c r="R12" s="2"/>
      <c r="S12" s="2"/>
      <c r="T12" s="2"/>
      <c r="U12" s="2" t="s">
        <v>3</v>
      </c>
      <c r="V12" s="2"/>
      <c r="W12" s="2"/>
      <c r="X12" s="2" t="s">
        <v>1090</v>
      </c>
    </row>
    <row r="13" spans="1:59" x14ac:dyDescent="0.25">
      <c r="A13" s="2" t="s">
        <v>918</v>
      </c>
      <c r="B13" s="2">
        <v>11</v>
      </c>
      <c r="C13" s="2"/>
      <c r="D13" s="2"/>
      <c r="E13" s="2"/>
      <c r="F13" s="2"/>
      <c r="G13" s="2"/>
      <c r="H13" s="2"/>
      <c r="I13" s="2"/>
      <c r="J13" s="2"/>
      <c r="K13" s="2"/>
      <c r="L13" s="2"/>
      <c r="M13" s="2"/>
      <c r="N13" s="2"/>
      <c r="O13" s="59" t="s">
        <v>1149</v>
      </c>
      <c r="P13" s="59"/>
      <c r="Q13" s="2"/>
      <c r="R13" s="2"/>
      <c r="S13" s="2"/>
      <c r="T13" s="2"/>
      <c r="U13" s="2"/>
      <c r="V13" s="2"/>
      <c r="W13" s="2"/>
      <c r="X13" s="2"/>
    </row>
    <row r="14" spans="1:59" x14ac:dyDescent="0.25">
      <c r="A14" s="2" t="s">
        <v>918</v>
      </c>
      <c r="B14" s="2">
        <v>12</v>
      </c>
      <c r="C14" s="2"/>
      <c r="D14" s="2"/>
      <c r="E14" s="2"/>
      <c r="F14" s="2"/>
      <c r="G14" s="2"/>
      <c r="H14" s="2"/>
      <c r="I14" s="2"/>
      <c r="J14" s="2"/>
      <c r="K14" s="2"/>
      <c r="L14" s="2"/>
      <c r="M14" s="2"/>
      <c r="N14" s="2"/>
      <c r="O14" s="59"/>
      <c r="P14" s="59" t="s">
        <v>1094</v>
      </c>
      <c r="Q14" s="2"/>
      <c r="R14" s="2"/>
      <c r="S14" s="2"/>
      <c r="T14" s="2"/>
      <c r="U14" s="2" t="s">
        <v>3</v>
      </c>
      <c r="V14" s="2"/>
      <c r="W14" s="2"/>
      <c r="X14" s="2" t="s">
        <v>1136</v>
      </c>
    </row>
    <row r="15" spans="1:59" x14ac:dyDescent="0.25">
      <c r="A15" s="2" t="s">
        <v>918</v>
      </c>
      <c r="B15" s="2">
        <v>13</v>
      </c>
      <c r="C15" s="2"/>
      <c r="D15" s="2"/>
      <c r="E15" s="2" t="s">
        <v>3</v>
      </c>
      <c r="F15" s="2"/>
      <c r="G15" s="2"/>
      <c r="H15" s="2"/>
      <c r="I15" s="2"/>
      <c r="J15" s="2"/>
      <c r="K15" s="2"/>
      <c r="L15" s="2"/>
      <c r="M15" s="2"/>
      <c r="N15" s="2"/>
      <c r="O15" s="2"/>
      <c r="P15" s="2"/>
      <c r="Q15" s="2"/>
      <c r="R15" s="2"/>
      <c r="S15" s="2"/>
      <c r="T15" s="2"/>
      <c r="U15" s="2"/>
      <c r="V15" s="2"/>
      <c r="W15" s="2"/>
      <c r="X15" s="2" t="s">
        <v>1101</v>
      </c>
    </row>
    <row r="16" spans="1:59" x14ac:dyDescent="0.25">
      <c r="A16" s="2" t="s">
        <v>918</v>
      </c>
      <c r="B16" s="2">
        <v>14</v>
      </c>
      <c r="C16" s="2"/>
      <c r="D16" s="2"/>
      <c r="E16" s="2"/>
      <c r="F16" s="2"/>
      <c r="G16" s="2"/>
      <c r="H16" s="2"/>
      <c r="I16" s="2"/>
      <c r="J16" s="2"/>
      <c r="K16" s="2"/>
      <c r="L16" s="2"/>
      <c r="M16" s="2"/>
      <c r="N16" s="2"/>
      <c r="O16" s="2"/>
      <c r="P16" s="2"/>
      <c r="Q16" s="2"/>
      <c r="R16" s="2"/>
      <c r="S16" s="2"/>
      <c r="T16" s="2"/>
      <c r="U16" s="2"/>
      <c r="V16" s="2"/>
      <c r="W16" s="2"/>
      <c r="X16" s="2" t="s">
        <v>1137</v>
      </c>
    </row>
    <row r="17" spans="1:24" x14ac:dyDescent="0.25">
      <c r="A17" s="2" t="s">
        <v>1096</v>
      </c>
      <c r="B17" s="2">
        <v>1</v>
      </c>
      <c r="C17" s="2"/>
      <c r="D17" s="2"/>
      <c r="E17" s="2"/>
      <c r="F17" s="2"/>
      <c r="G17" s="2"/>
      <c r="H17" s="2" t="s">
        <v>3</v>
      </c>
      <c r="I17" s="2" t="s">
        <v>3</v>
      </c>
      <c r="J17" s="2" t="s">
        <v>3</v>
      </c>
      <c r="K17" s="2" t="s">
        <v>1099</v>
      </c>
      <c r="L17" s="2" t="s">
        <v>1069</v>
      </c>
      <c r="M17" s="2">
        <v>123456789</v>
      </c>
      <c r="N17" s="2" t="s">
        <v>33</v>
      </c>
      <c r="O17" s="2"/>
      <c r="P17" s="2"/>
      <c r="Q17" s="2"/>
      <c r="R17" s="2" t="s">
        <v>3</v>
      </c>
      <c r="S17" s="2"/>
      <c r="T17" s="2"/>
      <c r="U17" s="2"/>
      <c r="V17" s="2"/>
      <c r="W17" s="2"/>
      <c r="X17" s="2" t="s">
        <v>1132</v>
      </c>
    </row>
    <row r="18" spans="1:24" x14ac:dyDescent="0.25">
      <c r="A18" s="2" t="s">
        <v>1096</v>
      </c>
      <c r="B18" s="2">
        <v>2</v>
      </c>
      <c r="C18" s="2"/>
      <c r="D18" s="2"/>
      <c r="E18" s="2"/>
      <c r="F18" s="2"/>
      <c r="G18" s="2"/>
      <c r="H18" s="2"/>
      <c r="I18" s="2"/>
      <c r="J18" s="2"/>
      <c r="K18" s="2"/>
      <c r="L18" s="2"/>
      <c r="M18" s="2">
        <v>123852963</v>
      </c>
      <c r="N18" s="2" t="s">
        <v>33</v>
      </c>
      <c r="O18" s="2"/>
      <c r="P18" s="2"/>
      <c r="Q18" s="2"/>
      <c r="R18" s="2" t="s">
        <v>3</v>
      </c>
      <c r="S18" s="2"/>
      <c r="T18" s="2" t="s">
        <v>3</v>
      </c>
      <c r="U18" s="2"/>
      <c r="V18" s="2"/>
      <c r="W18" s="2"/>
      <c r="X18" s="2"/>
    </row>
    <row r="19" spans="1:24" x14ac:dyDescent="0.25">
      <c r="A19" s="2" t="s">
        <v>1096</v>
      </c>
      <c r="B19" s="2">
        <v>3</v>
      </c>
      <c r="C19" s="2"/>
      <c r="D19" s="2"/>
      <c r="E19" s="2"/>
      <c r="F19" s="2"/>
      <c r="G19" s="2"/>
      <c r="H19" s="2"/>
      <c r="I19" s="2"/>
      <c r="J19" s="2"/>
      <c r="K19" s="2"/>
      <c r="L19" s="2"/>
      <c r="M19" s="2"/>
      <c r="N19" s="2"/>
      <c r="O19" s="2"/>
      <c r="P19" s="2"/>
      <c r="Q19" s="2"/>
      <c r="R19" s="2"/>
      <c r="S19" s="2"/>
      <c r="T19" s="2"/>
      <c r="U19" s="2"/>
      <c r="V19" s="2"/>
      <c r="W19" s="2"/>
      <c r="X19" s="2" t="s">
        <v>1134</v>
      </c>
    </row>
    <row r="20" spans="1:24" x14ac:dyDescent="0.25">
      <c r="A20" s="2" t="s">
        <v>1096</v>
      </c>
      <c r="B20" s="2">
        <v>4</v>
      </c>
      <c r="C20" s="2"/>
      <c r="D20" s="2" t="s">
        <v>3</v>
      </c>
      <c r="E20" s="2"/>
      <c r="F20" s="2"/>
      <c r="G20" s="2"/>
      <c r="H20" s="2"/>
      <c r="I20" s="2"/>
      <c r="J20" s="2"/>
      <c r="K20" s="2"/>
      <c r="L20" s="2"/>
      <c r="M20" s="2">
        <v>123456789</v>
      </c>
      <c r="N20" s="2" t="s">
        <v>33</v>
      </c>
      <c r="O20" s="2"/>
      <c r="P20" s="2"/>
      <c r="Q20" s="2"/>
      <c r="R20" s="2" t="s">
        <v>3</v>
      </c>
      <c r="S20" s="2"/>
      <c r="T20" s="2"/>
      <c r="U20" s="2"/>
      <c r="V20" s="2"/>
      <c r="W20" s="2"/>
      <c r="X20" s="2" t="s">
        <v>1132</v>
      </c>
    </row>
    <row r="21" spans="1:24" x14ac:dyDescent="0.25">
      <c r="A21" s="2" t="s">
        <v>1102</v>
      </c>
      <c r="B21" s="2">
        <v>1</v>
      </c>
      <c r="C21" s="2"/>
      <c r="D21" s="2"/>
      <c r="E21" s="2"/>
      <c r="F21" s="2"/>
      <c r="G21" s="2" t="s">
        <v>3</v>
      </c>
      <c r="H21" s="2" t="s">
        <v>3</v>
      </c>
      <c r="I21" s="2" t="s">
        <v>3</v>
      </c>
      <c r="J21" s="2"/>
      <c r="K21" s="2"/>
      <c r="L21" s="2"/>
      <c r="M21" s="2"/>
      <c r="N21" s="2"/>
      <c r="O21" s="2"/>
      <c r="P21" s="2"/>
      <c r="Q21" s="2" t="s">
        <v>1098</v>
      </c>
      <c r="R21" s="2"/>
      <c r="S21" s="2" t="s">
        <v>3</v>
      </c>
      <c r="T21" s="2" t="s">
        <v>3</v>
      </c>
      <c r="U21" s="2"/>
      <c r="V21" s="2"/>
      <c r="W21" s="2"/>
      <c r="X21" s="2" t="s">
        <v>1100</v>
      </c>
    </row>
    <row r="22" spans="1:24" x14ac:dyDescent="0.25">
      <c r="A22" s="2" t="s">
        <v>1102</v>
      </c>
      <c r="B22" s="2">
        <v>2</v>
      </c>
      <c r="C22" s="2"/>
      <c r="D22" s="2"/>
      <c r="E22" s="2"/>
      <c r="F22" s="2"/>
      <c r="G22" s="2"/>
      <c r="H22" s="2"/>
      <c r="I22" s="2"/>
      <c r="J22" s="2"/>
      <c r="K22" s="2"/>
      <c r="L22" s="2"/>
      <c r="M22" s="2"/>
      <c r="N22" s="2"/>
      <c r="O22" s="2"/>
      <c r="P22" s="2"/>
      <c r="Q22" s="2"/>
      <c r="R22" s="2"/>
      <c r="S22" s="2"/>
      <c r="T22" s="2"/>
      <c r="U22" s="2"/>
      <c r="V22" s="2"/>
      <c r="W22" s="2"/>
      <c r="X22" s="2" t="s">
        <v>1142</v>
      </c>
    </row>
    <row r="23" spans="1:24" x14ac:dyDescent="0.25">
      <c r="A23" s="2" t="s">
        <v>1102</v>
      </c>
      <c r="B23" s="2">
        <v>3</v>
      </c>
      <c r="C23" s="2" t="s">
        <v>3</v>
      </c>
      <c r="D23" s="2"/>
      <c r="E23" s="2"/>
      <c r="F23" s="2"/>
      <c r="G23" s="2"/>
      <c r="H23" s="2"/>
      <c r="I23" s="2" t="s">
        <v>3</v>
      </c>
      <c r="J23" s="2"/>
      <c r="K23" s="2"/>
      <c r="L23" s="2"/>
      <c r="M23" s="2"/>
      <c r="N23" s="2"/>
      <c r="O23" s="2"/>
      <c r="P23" s="2"/>
      <c r="Q23" s="2" t="s">
        <v>1098</v>
      </c>
      <c r="R23" s="2"/>
      <c r="S23" s="2" t="s">
        <v>3</v>
      </c>
      <c r="T23" s="2" t="s">
        <v>3</v>
      </c>
      <c r="U23" s="2"/>
      <c r="V23" s="2"/>
      <c r="W23" s="2"/>
      <c r="X23" s="2" t="s">
        <v>1100</v>
      </c>
    </row>
    <row r="24" spans="1:24" x14ac:dyDescent="0.25">
      <c r="A24" s="2" t="s">
        <v>1102</v>
      </c>
      <c r="B24" s="2">
        <v>4</v>
      </c>
      <c r="C24" s="2"/>
      <c r="D24" s="2"/>
      <c r="E24" s="2"/>
      <c r="F24" s="2"/>
      <c r="G24" s="2"/>
      <c r="H24" s="2"/>
      <c r="I24" s="2"/>
      <c r="J24" s="2"/>
      <c r="K24" s="2"/>
      <c r="L24" s="2"/>
      <c r="M24" s="2"/>
      <c r="N24" s="2"/>
      <c r="O24" s="2"/>
      <c r="P24" s="2"/>
      <c r="Q24" s="2"/>
      <c r="R24" s="2"/>
      <c r="S24" s="2"/>
      <c r="T24" s="2"/>
      <c r="U24" s="2"/>
      <c r="V24" s="2"/>
      <c r="W24" s="2"/>
      <c r="X24" s="2" t="s">
        <v>1143</v>
      </c>
    </row>
    <row r="25" spans="1:24" x14ac:dyDescent="0.25">
      <c r="A25" s="2" t="s">
        <v>1102</v>
      </c>
      <c r="B25" s="2">
        <v>5</v>
      </c>
      <c r="C25" s="2" t="s">
        <v>3</v>
      </c>
      <c r="D25" s="2"/>
      <c r="E25" s="2"/>
      <c r="F25" s="2"/>
      <c r="G25" s="2"/>
      <c r="H25" s="2"/>
      <c r="I25" s="2" t="s">
        <v>3</v>
      </c>
      <c r="J25" s="2"/>
      <c r="K25" s="2"/>
      <c r="L25" s="2"/>
      <c r="M25" s="2"/>
      <c r="N25" s="2"/>
      <c r="O25" s="2"/>
      <c r="P25" s="2"/>
      <c r="Q25" s="2" t="s">
        <v>1098</v>
      </c>
      <c r="R25" s="2"/>
      <c r="S25" s="2"/>
      <c r="T25" s="2"/>
      <c r="U25" s="2"/>
      <c r="V25" s="2"/>
      <c r="W25" s="2"/>
      <c r="X25" s="2"/>
    </row>
    <row r="26" spans="1:24" x14ac:dyDescent="0.25">
      <c r="A26" s="2" t="s">
        <v>1102</v>
      </c>
      <c r="B26" s="2">
        <v>6</v>
      </c>
      <c r="C26" s="2"/>
      <c r="D26" s="2"/>
      <c r="E26" s="2"/>
      <c r="F26" s="2"/>
      <c r="G26" s="2"/>
      <c r="H26" s="2"/>
      <c r="I26" s="2"/>
      <c r="J26" s="2"/>
      <c r="K26" s="2"/>
      <c r="L26" s="2"/>
      <c r="M26" s="2"/>
      <c r="N26" s="2"/>
      <c r="O26" s="2"/>
      <c r="P26" s="2"/>
      <c r="Q26" s="2" t="s">
        <v>1099</v>
      </c>
      <c r="R26" s="2"/>
      <c r="S26" s="2" t="s">
        <v>3</v>
      </c>
      <c r="T26" s="2" t="s">
        <v>3</v>
      </c>
      <c r="U26" s="2"/>
      <c r="V26" s="2"/>
      <c r="W26" s="2"/>
      <c r="X26" s="2" t="s">
        <v>1100</v>
      </c>
    </row>
    <row r="27" spans="1:24" x14ac:dyDescent="0.25">
      <c r="A27" s="2" t="s">
        <v>1102</v>
      </c>
      <c r="B27" s="2">
        <v>7</v>
      </c>
      <c r="C27" s="2"/>
      <c r="D27" s="2"/>
      <c r="E27" s="2"/>
      <c r="F27" s="2"/>
      <c r="G27" s="2"/>
      <c r="H27" s="2"/>
      <c r="I27" s="2"/>
      <c r="J27" s="2"/>
      <c r="K27" s="2"/>
      <c r="L27" s="2"/>
      <c r="M27" s="2"/>
      <c r="N27" s="2"/>
      <c r="O27" s="2"/>
      <c r="P27" s="2"/>
      <c r="Q27" s="2"/>
      <c r="R27" s="2"/>
      <c r="S27" s="2"/>
      <c r="T27" s="2"/>
      <c r="U27" s="2"/>
      <c r="V27" s="2"/>
      <c r="W27" s="2"/>
      <c r="X27" s="2" t="s">
        <v>1142</v>
      </c>
    </row>
    <row r="28" spans="1:24" x14ac:dyDescent="0.25">
      <c r="A28" s="2" t="s">
        <v>1102</v>
      </c>
      <c r="B28" s="2">
        <v>8</v>
      </c>
      <c r="C28" s="2" t="s">
        <v>3</v>
      </c>
      <c r="D28" s="2"/>
      <c r="E28" s="2"/>
      <c r="F28" s="2"/>
      <c r="G28" s="2"/>
      <c r="H28" s="2"/>
      <c r="I28" s="2"/>
      <c r="J28" s="2"/>
      <c r="K28" s="2"/>
      <c r="L28" s="2"/>
      <c r="M28" s="2"/>
      <c r="N28" s="2"/>
      <c r="O28" s="2"/>
      <c r="P28" s="2"/>
      <c r="Q28" s="2"/>
      <c r="R28" s="2"/>
      <c r="S28" s="2"/>
      <c r="T28" s="2"/>
      <c r="U28" s="2"/>
      <c r="V28" s="2"/>
      <c r="W28" s="2"/>
      <c r="X28" s="2" t="s">
        <v>1134</v>
      </c>
    </row>
    <row r="29" spans="1:24" x14ac:dyDescent="0.25">
      <c r="A29" s="2" t="s">
        <v>1102</v>
      </c>
      <c r="B29" s="2">
        <v>9</v>
      </c>
      <c r="C29" s="2"/>
      <c r="D29" s="2"/>
      <c r="E29" s="2"/>
      <c r="F29" s="2"/>
      <c r="G29" s="2"/>
      <c r="H29" s="2"/>
      <c r="I29" s="2"/>
      <c r="J29" s="2"/>
      <c r="K29" s="2"/>
      <c r="L29" s="2"/>
      <c r="M29" s="2"/>
      <c r="N29" s="2"/>
      <c r="O29" s="2"/>
      <c r="P29" s="2"/>
      <c r="Q29" s="2"/>
      <c r="R29" s="2"/>
      <c r="S29" s="2"/>
      <c r="T29" s="2"/>
      <c r="U29" s="2"/>
      <c r="V29" s="2"/>
      <c r="W29" s="2"/>
      <c r="X29" s="2" t="s">
        <v>1142</v>
      </c>
    </row>
    <row r="30" spans="1:24" x14ac:dyDescent="0.25">
      <c r="A30" s="2" t="s">
        <v>1102</v>
      </c>
      <c r="B30" s="2">
        <v>10</v>
      </c>
      <c r="C30" s="2" t="s">
        <v>3</v>
      </c>
      <c r="D30" s="2"/>
      <c r="E30" s="2"/>
      <c r="F30" s="2"/>
      <c r="G30" s="2"/>
      <c r="H30" s="2"/>
      <c r="I30" s="2" t="s">
        <v>3</v>
      </c>
      <c r="J30" s="2"/>
      <c r="K30" s="2"/>
      <c r="L30" s="2"/>
      <c r="M30" s="2"/>
      <c r="N30" s="2"/>
      <c r="O30" s="2"/>
      <c r="P30" s="2"/>
      <c r="Q30" s="2" t="s">
        <v>1098</v>
      </c>
      <c r="R30" s="2"/>
      <c r="S30" s="2"/>
      <c r="T30" s="2"/>
      <c r="U30" s="2"/>
      <c r="V30" s="2"/>
      <c r="W30" s="2"/>
      <c r="X30" s="2"/>
    </row>
    <row r="31" spans="1:24" x14ac:dyDescent="0.25">
      <c r="A31" s="2" t="s">
        <v>1102</v>
      </c>
      <c r="B31" s="2">
        <v>11</v>
      </c>
      <c r="C31" s="2"/>
      <c r="D31" s="2"/>
      <c r="E31" s="2"/>
      <c r="F31" s="2"/>
      <c r="G31" s="2"/>
      <c r="H31" s="2"/>
      <c r="I31" s="2"/>
      <c r="J31" s="2"/>
      <c r="K31" s="2"/>
      <c r="L31" s="2"/>
      <c r="M31" s="2"/>
      <c r="N31" s="2"/>
      <c r="O31" s="2"/>
      <c r="P31" s="2"/>
      <c r="Q31" s="2" t="s">
        <v>1099</v>
      </c>
      <c r="R31" s="2"/>
      <c r="S31" s="2" t="s">
        <v>3</v>
      </c>
      <c r="T31" s="2" t="s">
        <v>3</v>
      </c>
      <c r="U31" s="2"/>
      <c r="V31" s="2"/>
      <c r="W31" s="2"/>
      <c r="X31" s="2" t="s">
        <v>1100</v>
      </c>
    </row>
    <row r="32" spans="1:24" x14ac:dyDescent="0.25">
      <c r="A32" s="2" t="s">
        <v>1102</v>
      </c>
      <c r="B32" s="2">
        <v>12</v>
      </c>
      <c r="C32" s="2"/>
      <c r="D32" s="2"/>
      <c r="E32" s="2"/>
      <c r="F32" s="2"/>
      <c r="G32" s="2"/>
      <c r="H32" s="2"/>
      <c r="I32" s="2"/>
      <c r="J32" s="2"/>
      <c r="K32" s="2"/>
      <c r="L32" s="2"/>
      <c r="M32" s="2"/>
      <c r="N32" s="2"/>
      <c r="O32" s="2"/>
      <c r="P32" s="2"/>
      <c r="Q32" s="2"/>
      <c r="R32" s="2"/>
      <c r="S32" s="2"/>
      <c r="T32" s="2"/>
      <c r="U32" s="2"/>
      <c r="V32" s="2"/>
      <c r="W32" s="2"/>
      <c r="X32" s="2" t="s">
        <v>1143</v>
      </c>
    </row>
    <row r="33" spans="1:24" x14ac:dyDescent="0.25">
      <c r="A33" s="2" t="s">
        <v>1102</v>
      </c>
      <c r="B33" s="2">
        <v>13</v>
      </c>
      <c r="C33" s="2" t="s">
        <v>3</v>
      </c>
      <c r="D33" s="2"/>
      <c r="E33" s="2"/>
      <c r="F33" s="2"/>
      <c r="G33" s="2"/>
      <c r="H33" s="2"/>
      <c r="I33" s="2"/>
      <c r="J33" s="2"/>
      <c r="K33" s="2"/>
      <c r="L33" s="2"/>
      <c r="M33" s="2"/>
      <c r="N33" s="2"/>
      <c r="O33" s="2"/>
      <c r="P33" s="2"/>
      <c r="Q33" s="2"/>
      <c r="R33" s="2"/>
      <c r="S33" s="2"/>
      <c r="T33" s="2"/>
      <c r="U33" s="2"/>
      <c r="V33" s="2"/>
      <c r="W33" s="2"/>
      <c r="X33" s="2" t="s">
        <v>1134</v>
      </c>
    </row>
    <row r="34" spans="1:24" x14ac:dyDescent="0.25">
      <c r="A34" s="2" t="s">
        <v>1102</v>
      </c>
      <c r="B34" s="2">
        <v>14</v>
      </c>
      <c r="C34" s="2"/>
      <c r="D34" s="2"/>
      <c r="E34" s="2"/>
      <c r="F34" s="2"/>
      <c r="G34" s="2"/>
      <c r="H34" s="2"/>
      <c r="I34" s="2"/>
      <c r="J34" s="2"/>
      <c r="K34" s="2"/>
      <c r="L34" s="2"/>
      <c r="M34" s="2"/>
      <c r="N34" s="2"/>
      <c r="O34" s="2"/>
      <c r="P34" s="2"/>
      <c r="Q34" s="2"/>
      <c r="R34" s="2"/>
      <c r="S34" s="2"/>
      <c r="T34" s="2"/>
      <c r="U34" s="2"/>
      <c r="V34" s="2"/>
      <c r="W34" s="2"/>
      <c r="X34" s="2" t="s">
        <v>1143</v>
      </c>
    </row>
    <row r="35" spans="1:24" x14ac:dyDescent="0.25">
      <c r="A35" s="2" t="s">
        <v>1103</v>
      </c>
      <c r="B35" s="2">
        <v>1</v>
      </c>
      <c r="C35" s="2"/>
      <c r="D35" s="2"/>
      <c r="E35" s="2"/>
      <c r="F35" s="2"/>
      <c r="G35" s="2" t="s">
        <v>3</v>
      </c>
      <c r="H35" s="2" t="s">
        <v>3</v>
      </c>
      <c r="I35" s="2" t="s">
        <v>3</v>
      </c>
      <c r="J35" s="2"/>
      <c r="K35" s="2"/>
      <c r="L35" s="2"/>
      <c r="M35" s="2"/>
      <c r="N35" s="2"/>
      <c r="O35" s="2"/>
      <c r="P35" s="2"/>
      <c r="Q35" s="2" t="s">
        <v>1098</v>
      </c>
      <c r="R35" s="2"/>
      <c r="S35" s="2"/>
      <c r="T35" s="2"/>
      <c r="U35" s="2"/>
      <c r="V35" s="2" t="s">
        <v>3</v>
      </c>
      <c r="W35" s="2"/>
      <c r="X35" s="2" t="s">
        <v>1131</v>
      </c>
    </row>
    <row r="36" spans="1:24" x14ac:dyDescent="0.25">
      <c r="A36" s="2" t="s">
        <v>1103</v>
      </c>
      <c r="B36" s="2">
        <v>2</v>
      </c>
      <c r="C36" s="2"/>
      <c r="D36" s="2"/>
      <c r="E36" s="2"/>
      <c r="F36" s="2"/>
      <c r="G36" s="2"/>
      <c r="H36" s="2"/>
      <c r="I36" s="2"/>
      <c r="J36" s="2"/>
      <c r="K36" s="2"/>
      <c r="L36" s="2"/>
      <c r="M36" s="2"/>
      <c r="N36" s="2"/>
      <c r="O36" s="2"/>
      <c r="P36" s="2"/>
      <c r="Q36" s="2"/>
      <c r="R36" s="2"/>
      <c r="S36" s="2"/>
      <c r="T36" s="2"/>
      <c r="U36" s="2"/>
      <c r="V36" s="2"/>
      <c r="W36" s="2" t="s">
        <v>3</v>
      </c>
      <c r="X36" s="2"/>
    </row>
    <row r="37" spans="1:24" x14ac:dyDescent="0.25">
      <c r="A37" s="2" t="s">
        <v>1103</v>
      </c>
      <c r="B37" s="2">
        <v>3</v>
      </c>
      <c r="C37" s="2"/>
      <c r="D37" s="2"/>
      <c r="E37" s="2"/>
      <c r="F37" s="2"/>
      <c r="G37" s="2"/>
      <c r="H37" s="2"/>
      <c r="I37" s="2"/>
      <c r="J37" s="2"/>
      <c r="K37" s="2"/>
      <c r="L37" s="2"/>
      <c r="M37" s="2"/>
      <c r="N37" s="2"/>
      <c r="O37" s="2"/>
      <c r="P37" s="2"/>
      <c r="Q37" s="2"/>
      <c r="R37" s="2"/>
      <c r="S37" s="2"/>
      <c r="T37" s="2" t="s">
        <v>3</v>
      </c>
      <c r="U37" s="2"/>
      <c r="V37" s="2"/>
      <c r="W37" s="2"/>
      <c r="X37" s="2" t="s">
        <v>1144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G4"/>
  <sheetViews>
    <sheetView zoomScale="85" zoomScaleNormal="85" workbookViewId="0">
      <selection activeCell="O27" sqref="O27"/>
    </sheetView>
  </sheetViews>
  <sheetFormatPr defaultRowHeight="15" x14ac:dyDescent="0.25"/>
  <cols>
    <col min="1" max="1" width="5.140625" style="14" bestFit="1" customWidth="1" collapsed="1"/>
    <col min="2" max="2" width="9.140625" style="14" collapsed="1"/>
    <col min="3" max="3" width="22.85546875" style="14" bestFit="1" customWidth="1" collapsed="1"/>
    <col min="4" max="6" width="22.85546875" style="14" customWidth="1" collapsed="1"/>
    <col min="7" max="7" width="11.85546875" style="14" bestFit="1" customWidth="1" collapsed="1"/>
    <col min="8" max="16384" width="9.140625" style="14" collapsed="1"/>
  </cols>
  <sheetData>
    <row r="1" spans="1:7" x14ac:dyDescent="0.25">
      <c r="A1" s="9" t="s">
        <v>0</v>
      </c>
      <c r="B1" s="5" t="s">
        <v>20</v>
      </c>
      <c r="C1" s="5" t="s">
        <v>617</v>
      </c>
      <c r="D1" s="5" t="s">
        <v>922</v>
      </c>
      <c r="E1" s="5" t="s">
        <v>1009</v>
      </c>
      <c r="F1" s="5" t="s">
        <v>1197</v>
      </c>
      <c r="G1" s="5" t="s">
        <v>618</v>
      </c>
    </row>
    <row r="2" spans="1:7" x14ac:dyDescent="0.25">
      <c r="A2" s="2" t="s">
        <v>750</v>
      </c>
      <c r="B2" s="6">
        <v>1</v>
      </c>
      <c r="C2" s="6" t="s">
        <v>3</v>
      </c>
      <c r="D2" s="6"/>
      <c r="E2" s="6"/>
      <c r="F2" s="6"/>
      <c r="G2" s="6" t="s">
        <v>3</v>
      </c>
    </row>
    <row r="3" spans="1:7" x14ac:dyDescent="0.25">
      <c r="A3" s="2" t="s">
        <v>752</v>
      </c>
      <c r="B3" s="6">
        <v>1</v>
      </c>
      <c r="C3" s="6" t="s">
        <v>3</v>
      </c>
      <c r="D3" s="6" t="s">
        <v>923</v>
      </c>
      <c r="E3" s="6" t="s">
        <v>3</v>
      </c>
      <c r="F3" s="6"/>
      <c r="G3" s="6" t="s">
        <v>3</v>
      </c>
    </row>
    <row r="4" spans="1:7" x14ac:dyDescent="0.25">
      <c r="A4" s="2" t="s">
        <v>1106</v>
      </c>
      <c r="B4" s="6">
        <v>1</v>
      </c>
      <c r="C4" s="6" t="s">
        <v>3</v>
      </c>
      <c r="D4" s="6" t="s">
        <v>923</v>
      </c>
      <c r="E4" s="6" t="s">
        <v>3</v>
      </c>
      <c r="F4" s="6" t="s">
        <v>1196</v>
      </c>
      <c r="G4" s="6" t="s">
        <v>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CA2"/>
  <sheetViews>
    <sheetView zoomScale="85" zoomScaleNormal="85" workbookViewId="0">
      <pane xSplit="1" topLeftCell="AK1" activePane="topRight" state="frozen"/>
      <selection activeCell="D26" sqref="D26"/>
      <selection pane="topRight" activeCell="D26" sqref="D26"/>
    </sheetView>
  </sheetViews>
  <sheetFormatPr defaultRowHeight="15" x14ac:dyDescent="0.25"/>
  <cols>
    <col min="1" max="1" width="5.140625" style="14" bestFit="1" customWidth="1" collapsed="1"/>
    <col min="2" max="7" width="9.140625" style="14" collapsed="1"/>
    <col min="8" max="9" width="16.140625" style="14" bestFit="1" customWidth="1" collapsed="1"/>
    <col min="10" max="10" width="16.140625" style="14" customWidth="1" collapsed="1"/>
    <col min="11" max="11" width="16.28515625" style="14" bestFit="1" customWidth="1" collapsed="1"/>
    <col min="12" max="16" width="16.28515625" style="14" customWidth="1" collapsed="1"/>
    <col min="17" max="17" width="22.5703125" style="14" bestFit="1" customWidth="1" collapsed="1"/>
    <col min="18" max="18" width="27.42578125" style="14" bestFit="1" customWidth="1" collapsed="1"/>
    <col min="19" max="19" width="22.42578125" style="14" bestFit="1" customWidth="1" collapsed="1"/>
    <col min="20" max="20" width="22.5703125" style="14" bestFit="1" customWidth="1" collapsed="1"/>
    <col min="21" max="21" width="27.42578125" style="14" customWidth="1" collapsed="1"/>
    <col min="22" max="22" width="22.42578125" style="14" bestFit="1" customWidth="1" collapsed="1"/>
    <col min="23" max="28" width="27.42578125" style="14" customWidth="1" collapsed="1"/>
    <col min="29" max="29" width="13.140625" style="14" bestFit="1" customWidth="1" collapsed="1"/>
    <col min="30" max="30" width="17.7109375" style="14" bestFit="1" customWidth="1" collapsed="1"/>
    <col min="31" max="31" width="16.140625" style="14" bestFit="1" customWidth="1" collapsed="1"/>
    <col min="32" max="32" width="18" style="14" bestFit="1" customWidth="1" collapsed="1"/>
    <col min="33" max="47" width="9.140625" style="14" collapsed="1"/>
    <col min="48" max="48" width="15" style="14" customWidth="1" collapsed="1"/>
    <col min="49" max="49" width="11.85546875" style="14" bestFit="1" customWidth="1" collapsed="1"/>
    <col min="50" max="16384" width="9.140625" style="14" collapsed="1"/>
  </cols>
  <sheetData>
    <row r="1" spans="1:79" x14ac:dyDescent="0.25">
      <c r="A1" s="9" t="s">
        <v>0</v>
      </c>
      <c r="B1" s="9" t="s">
        <v>20</v>
      </c>
      <c r="C1" s="9" t="s">
        <v>943</v>
      </c>
      <c r="D1" s="9" t="s">
        <v>944</v>
      </c>
      <c r="E1" s="9" t="s">
        <v>945</v>
      </c>
      <c r="F1" s="9" t="s">
        <v>946</v>
      </c>
      <c r="G1" s="9" t="s">
        <v>981</v>
      </c>
      <c r="H1" s="9" t="s">
        <v>989</v>
      </c>
      <c r="I1" s="9" t="s">
        <v>984</v>
      </c>
      <c r="J1" s="9" t="s">
        <v>1008</v>
      </c>
      <c r="K1" s="9" t="s">
        <v>985</v>
      </c>
      <c r="L1" s="9" t="s">
        <v>991</v>
      </c>
      <c r="M1" s="9" t="s">
        <v>947</v>
      </c>
      <c r="N1" s="9" t="s">
        <v>949</v>
      </c>
      <c r="O1" s="9" t="s">
        <v>952</v>
      </c>
      <c r="P1" s="9" t="s">
        <v>992</v>
      </c>
      <c r="Q1" s="9" t="s">
        <v>950</v>
      </c>
      <c r="R1" s="9" t="s">
        <v>951</v>
      </c>
      <c r="S1" s="9" t="s">
        <v>993</v>
      </c>
      <c r="T1" s="9" t="s">
        <v>953</v>
      </c>
      <c r="U1" s="9" t="s">
        <v>954</v>
      </c>
      <c r="V1" s="9" t="s">
        <v>994</v>
      </c>
      <c r="W1" s="9" t="s">
        <v>942</v>
      </c>
      <c r="X1" s="9" t="s">
        <v>955</v>
      </c>
      <c r="Y1" s="9" t="s">
        <v>982</v>
      </c>
      <c r="Z1" s="9" t="s">
        <v>956</v>
      </c>
      <c r="AA1" s="9" t="s">
        <v>983</v>
      </c>
      <c r="AB1" s="9" t="s">
        <v>957</v>
      </c>
      <c r="AC1" s="9" t="s">
        <v>958</v>
      </c>
      <c r="AD1" s="9" t="s">
        <v>959</v>
      </c>
      <c r="AE1" s="9" t="s">
        <v>960</v>
      </c>
      <c r="AF1" s="9" t="s">
        <v>961</v>
      </c>
      <c r="AG1" s="9" t="s">
        <v>962</v>
      </c>
      <c r="AH1" s="9" t="s">
        <v>963</v>
      </c>
      <c r="AI1" s="9" t="s">
        <v>964</v>
      </c>
      <c r="AJ1" s="9" t="s">
        <v>965</v>
      </c>
      <c r="AK1" s="9" t="s">
        <v>990</v>
      </c>
      <c r="AL1" s="9" t="s">
        <v>966</v>
      </c>
      <c r="AM1" s="9" t="s">
        <v>967</v>
      </c>
      <c r="AN1" s="9" t="s">
        <v>968</v>
      </c>
      <c r="AO1" s="9" t="s">
        <v>969</v>
      </c>
      <c r="AP1" s="9" t="s">
        <v>970</v>
      </c>
      <c r="AQ1" s="9" t="s">
        <v>971</v>
      </c>
      <c r="AR1" s="9" t="s">
        <v>972</v>
      </c>
      <c r="AS1" s="9" t="s">
        <v>973</v>
      </c>
      <c r="AT1" s="9" t="s">
        <v>974</v>
      </c>
      <c r="AU1" s="9" t="s">
        <v>975</v>
      </c>
      <c r="AV1" s="9" t="s">
        <v>1009</v>
      </c>
      <c r="AW1" s="9" t="s">
        <v>618</v>
      </c>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row>
    <row r="2" spans="1:79" x14ac:dyDescent="0.25">
      <c r="A2" s="2" t="s">
        <v>752</v>
      </c>
      <c r="B2" s="2">
        <v>1</v>
      </c>
      <c r="C2" s="2" t="s">
        <v>3</v>
      </c>
      <c r="D2" s="2" t="s">
        <v>3</v>
      </c>
      <c r="E2" s="2">
        <v>1000</v>
      </c>
      <c r="F2" s="2" t="s">
        <v>3</v>
      </c>
      <c r="G2" s="2">
        <v>2000</v>
      </c>
      <c r="H2" s="2" t="s">
        <v>3</v>
      </c>
      <c r="I2" s="2" t="s">
        <v>3</v>
      </c>
      <c r="J2" s="2"/>
      <c r="K2" s="2">
        <v>3000</v>
      </c>
      <c r="L2" s="2" t="s">
        <v>3</v>
      </c>
      <c r="M2" s="2" t="s">
        <v>3</v>
      </c>
      <c r="N2" s="2" t="s">
        <v>948</v>
      </c>
      <c r="O2" s="2">
        <v>4000</v>
      </c>
      <c r="P2" s="2" t="s">
        <v>3</v>
      </c>
      <c r="Q2" s="2" t="s">
        <v>976</v>
      </c>
      <c r="R2" s="2">
        <v>5000</v>
      </c>
      <c r="S2" s="2" t="s">
        <v>3</v>
      </c>
      <c r="T2" s="2" t="s">
        <v>977</v>
      </c>
      <c r="U2" s="2">
        <v>6000</v>
      </c>
      <c r="V2" s="2" t="s">
        <v>3</v>
      </c>
      <c r="W2" s="2" t="s">
        <v>986</v>
      </c>
      <c r="X2" s="2" t="s">
        <v>3</v>
      </c>
      <c r="Y2" s="2" t="s">
        <v>987</v>
      </c>
      <c r="Z2" s="2" t="s">
        <v>3</v>
      </c>
      <c r="AA2" s="2" t="s">
        <v>988</v>
      </c>
      <c r="AB2" s="2" t="s">
        <v>3</v>
      </c>
      <c r="AC2" s="2" t="s">
        <v>3</v>
      </c>
      <c r="AD2" s="2" t="s">
        <v>3</v>
      </c>
      <c r="AE2" s="2" t="s">
        <v>3</v>
      </c>
      <c r="AF2" s="2" t="s">
        <v>3</v>
      </c>
      <c r="AG2" s="2" t="s">
        <v>3</v>
      </c>
      <c r="AH2" s="2" t="s">
        <v>3</v>
      </c>
      <c r="AI2" s="2" t="s">
        <v>3</v>
      </c>
      <c r="AJ2" s="2" t="s">
        <v>3</v>
      </c>
      <c r="AK2" s="2" t="s">
        <v>3</v>
      </c>
      <c r="AL2" s="2" t="s">
        <v>3</v>
      </c>
      <c r="AM2" s="2" t="s">
        <v>3</v>
      </c>
      <c r="AN2" s="2" t="s">
        <v>3</v>
      </c>
      <c r="AO2" s="2" t="s">
        <v>3</v>
      </c>
      <c r="AP2" s="2" t="s">
        <v>978</v>
      </c>
      <c r="AQ2" s="2" t="s">
        <v>978</v>
      </c>
      <c r="AR2" s="2" t="s">
        <v>979</v>
      </c>
      <c r="AS2" s="2" t="s">
        <v>980</v>
      </c>
      <c r="AT2" s="2" t="s">
        <v>3</v>
      </c>
      <c r="AU2" s="2" t="s">
        <v>1006</v>
      </c>
      <c r="AV2" s="13"/>
      <c r="AW2" s="2" t="s">
        <v>3</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O3"/>
  <sheetViews>
    <sheetView zoomScale="85" zoomScaleNormal="85" workbookViewId="0">
      <selection activeCell="D26" sqref="D26"/>
    </sheetView>
  </sheetViews>
  <sheetFormatPr defaultRowHeight="15" x14ac:dyDescent="0.25"/>
  <cols>
    <col min="1" max="1" width="5.140625" style="14" bestFit="1" customWidth="1" collapsed="1"/>
    <col min="2" max="2" width="9.140625" style="14" collapsed="1"/>
    <col min="3" max="3" width="15.42578125" style="14" customWidth="1" collapsed="1"/>
    <col min="4" max="4" width="15.7109375" style="14" customWidth="1" collapsed="1"/>
    <col min="5" max="5" width="16.7109375" style="14" customWidth="1" collapsed="1"/>
    <col min="6" max="6" width="12.140625" style="14" customWidth="1" collapsed="1"/>
    <col min="7" max="7" width="19.140625" style="14" customWidth="1" collapsed="1"/>
    <col min="8" max="9" width="12.5703125" style="14" customWidth="1" collapsed="1"/>
    <col min="10" max="10" width="9.140625" style="14" collapsed="1"/>
    <col min="11" max="11" width="23.7109375" style="14" bestFit="1" customWidth="1" collapsed="1"/>
    <col min="12" max="13" width="9.140625" style="14" collapsed="1"/>
    <col min="14" max="14" width="15" style="14" bestFit="1" customWidth="1" collapsed="1"/>
    <col min="15" max="15" width="11.85546875" style="14" bestFit="1" customWidth="1" collapsed="1"/>
    <col min="16" max="16384" width="9.140625" style="14" collapsed="1"/>
  </cols>
  <sheetData>
    <row r="1" spans="1:15" x14ac:dyDescent="0.25">
      <c r="A1" s="9" t="s">
        <v>0</v>
      </c>
      <c r="B1" s="9" t="s">
        <v>20</v>
      </c>
      <c r="C1" s="9" t="s">
        <v>932</v>
      </c>
      <c r="D1" s="9" t="s">
        <v>930</v>
      </c>
      <c r="E1" s="9" t="s">
        <v>929</v>
      </c>
      <c r="F1" s="9" t="s">
        <v>928</v>
      </c>
      <c r="G1" s="9" t="s">
        <v>931</v>
      </c>
      <c r="H1" s="9" t="s">
        <v>930</v>
      </c>
      <c r="I1" s="9" t="s">
        <v>929</v>
      </c>
      <c r="J1" s="9" t="s">
        <v>928</v>
      </c>
      <c r="K1" s="9" t="s">
        <v>927</v>
      </c>
      <c r="L1" s="9" t="s">
        <v>926</v>
      </c>
      <c r="M1" s="9" t="s">
        <v>925</v>
      </c>
      <c r="N1" s="9" t="s">
        <v>924</v>
      </c>
      <c r="O1" s="9" t="s">
        <v>618</v>
      </c>
    </row>
    <row r="2" spans="1:15" x14ac:dyDescent="0.25">
      <c r="A2" s="2" t="s">
        <v>750</v>
      </c>
      <c r="B2" s="2">
        <v>1</v>
      </c>
      <c r="C2" s="2" t="s">
        <v>3</v>
      </c>
      <c r="D2" s="2" t="s">
        <v>619</v>
      </c>
      <c r="E2" s="2" t="s">
        <v>3</v>
      </c>
      <c r="F2" s="2" t="s">
        <v>3</v>
      </c>
      <c r="G2" s="2" t="s">
        <v>3</v>
      </c>
      <c r="H2" s="2" t="s">
        <v>637</v>
      </c>
      <c r="I2" s="2" t="s">
        <v>3</v>
      </c>
      <c r="J2" s="2" t="s">
        <v>3</v>
      </c>
      <c r="K2" s="6" t="s">
        <v>186</v>
      </c>
      <c r="L2" s="6" t="s">
        <v>32</v>
      </c>
      <c r="M2" s="6" t="s">
        <v>33</v>
      </c>
      <c r="N2" s="13" t="s">
        <v>34</v>
      </c>
      <c r="O2" s="2" t="s">
        <v>3</v>
      </c>
    </row>
    <row r="3" spans="1:15" x14ac:dyDescent="0.25">
      <c r="A3" s="2" t="s">
        <v>752</v>
      </c>
      <c r="B3" s="2">
        <v>1</v>
      </c>
      <c r="C3" s="2" t="s">
        <v>3</v>
      </c>
      <c r="D3" s="2" t="s">
        <v>933</v>
      </c>
      <c r="E3" s="2" t="s">
        <v>3</v>
      </c>
      <c r="F3" s="2" t="s">
        <v>3</v>
      </c>
      <c r="G3" s="2" t="s">
        <v>3</v>
      </c>
      <c r="H3" s="2" t="s">
        <v>933</v>
      </c>
      <c r="I3" s="2" t="s">
        <v>3</v>
      </c>
      <c r="J3" s="2" t="s">
        <v>3</v>
      </c>
      <c r="K3" s="6" t="s">
        <v>186</v>
      </c>
      <c r="L3" s="6" t="s">
        <v>32</v>
      </c>
      <c r="M3" s="6" t="s">
        <v>33</v>
      </c>
      <c r="N3" s="13" t="s">
        <v>34</v>
      </c>
      <c r="O3" s="2" t="s">
        <v>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C3"/>
  <sheetViews>
    <sheetView zoomScale="85" zoomScaleNormal="85" workbookViewId="0">
      <selection activeCell="T27" sqref="T27"/>
    </sheetView>
  </sheetViews>
  <sheetFormatPr defaultRowHeight="15" x14ac:dyDescent="0.25"/>
  <cols>
    <col min="1" max="1" width="5.140625" style="14" bestFit="1" customWidth="1" collapsed="1"/>
    <col min="2" max="2" width="9.140625" style="14" collapsed="1"/>
    <col min="3" max="3" width="11.85546875" style="14" bestFit="1" customWidth="1" collapsed="1"/>
    <col min="4" max="16384" width="9.140625" style="14" collapsed="1"/>
  </cols>
  <sheetData>
    <row r="1" spans="1:3" x14ac:dyDescent="0.25">
      <c r="A1" s="9" t="s">
        <v>0</v>
      </c>
      <c r="B1" s="9" t="s">
        <v>20</v>
      </c>
      <c r="C1" s="9" t="s">
        <v>618</v>
      </c>
    </row>
    <row r="2" spans="1:3" x14ac:dyDescent="0.25">
      <c r="A2" s="2" t="s">
        <v>750</v>
      </c>
      <c r="B2" s="2">
        <v>1</v>
      </c>
      <c r="C2" s="2" t="s">
        <v>3</v>
      </c>
    </row>
    <row r="3" spans="1:3" x14ac:dyDescent="0.25">
      <c r="A3" s="2" t="s">
        <v>752</v>
      </c>
      <c r="B3" s="2">
        <v>1</v>
      </c>
      <c r="C3" s="2" t="s">
        <v>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C3"/>
  <sheetViews>
    <sheetView zoomScale="80" zoomScaleNormal="80" workbookViewId="0">
      <selection activeCell="D26" sqref="D26"/>
    </sheetView>
  </sheetViews>
  <sheetFormatPr defaultRowHeight="15" x14ac:dyDescent="0.25"/>
  <cols>
    <col min="1" max="1" width="5.140625" style="14" bestFit="1" customWidth="1" collapsed="1"/>
    <col min="2" max="2" width="9.140625" style="14" collapsed="1"/>
    <col min="3" max="3" width="12" style="14" bestFit="1" customWidth="1" collapsed="1"/>
    <col min="4" max="16384" width="9.140625" style="14" collapsed="1"/>
  </cols>
  <sheetData>
    <row r="1" spans="1:3" x14ac:dyDescent="0.25">
      <c r="A1" s="9" t="s">
        <v>0</v>
      </c>
      <c r="B1" s="9" t="s">
        <v>20</v>
      </c>
      <c r="C1" s="9" t="s">
        <v>618</v>
      </c>
    </row>
    <row r="2" spans="1:3" x14ac:dyDescent="0.25">
      <c r="A2" s="2" t="s">
        <v>750</v>
      </c>
      <c r="B2" s="2">
        <v>1</v>
      </c>
      <c r="C2" s="2" t="s">
        <v>3</v>
      </c>
    </row>
    <row r="3" spans="1:3" x14ac:dyDescent="0.25">
      <c r="A3" s="2" t="s">
        <v>752</v>
      </c>
      <c r="B3" s="2">
        <v>1</v>
      </c>
      <c r="C3" s="2" t="s">
        <v>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O3"/>
  <sheetViews>
    <sheetView zoomScale="85" zoomScaleNormal="85" workbookViewId="0">
      <selection activeCell="D26" sqref="D26"/>
    </sheetView>
  </sheetViews>
  <sheetFormatPr defaultRowHeight="15" x14ac:dyDescent="0.25"/>
  <cols>
    <col min="1" max="1" width="5.140625" style="14" bestFit="1" customWidth="1" collapsed="1"/>
    <col min="2" max="2" width="9.140625" style="14" collapsed="1"/>
    <col min="3" max="3" width="23.42578125" style="14" bestFit="1" customWidth="1" collapsed="1"/>
    <col min="4" max="4" width="16.42578125" style="14" bestFit="1" customWidth="1" collapsed="1"/>
    <col min="5" max="6" width="16.42578125" style="14" customWidth="1" collapsed="1"/>
    <col min="7" max="7" width="20.28515625" style="14" bestFit="1" customWidth="1" collapsed="1"/>
    <col min="8" max="8" width="14.42578125" style="14" bestFit="1" customWidth="1" collapsed="1"/>
    <col min="9" max="9" width="15.42578125" style="14" bestFit="1" customWidth="1" collapsed="1"/>
    <col min="10" max="10" width="15.42578125" style="14" customWidth="1" collapsed="1"/>
    <col min="11" max="11" width="22.85546875" style="14" bestFit="1" customWidth="1" collapsed="1"/>
    <col min="12" max="12" width="22.85546875" style="14" customWidth="1" collapsed="1"/>
    <col min="13" max="13" width="37.85546875" style="14" bestFit="1" customWidth="1" collapsed="1"/>
    <col min="14" max="14" width="17.7109375" style="14" bestFit="1" customWidth="1" collapsed="1"/>
    <col min="15" max="15" width="33.28515625" style="14" bestFit="1" customWidth="1" collapsed="1"/>
    <col min="16" max="16384" width="9.140625" style="14" collapsed="1"/>
  </cols>
  <sheetData>
    <row r="1" spans="1:15" x14ac:dyDescent="0.25">
      <c r="A1" s="9" t="s">
        <v>0</v>
      </c>
      <c r="B1" s="9" t="s">
        <v>20</v>
      </c>
      <c r="C1" s="9" t="s">
        <v>995</v>
      </c>
      <c r="D1" s="9" t="s">
        <v>996</v>
      </c>
      <c r="E1" s="9" t="s">
        <v>1008</v>
      </c>
      <c r="F1" s="9" t="s">
        <v>1003</v>
      </c>
      <c r="G1" s="9" t="s">
        <v>997</v>
      </c>
      <c r="H1" s="9" t="s">
        <v>998</v>
      </c>
      <c r="I1" s="9" t="s">
        <v>999</v>
      </c>
      <c r="J1" s="9" t="s">
        <v>1004</v>
      </c>
      <c r="K1" s="9" t="s">
        <v>1000</v>
      </c>
      <c r="L1" s="9" t="s">
        <v>1008</v>
      </c>
      <c r="M1" s="9" t="s">
        <v>1001</v>
      </c>
      <c r="N1" s="9" t="s">
        <v>620</v>
      </c>
      <c r="O1" s="9" t="s">
        <v>255</v>
      </c>
    </row>
    <row r="2" spans="1:15" x14ac:dyDescent="0.25">
      <c r="A2" s="2" t="s">
        <v>750</v>
      </c>
      <c r="B2" s="2">
        <v>1</v>
      </c>
      <c r="C2" s="2"/>
      <c r="D2" s="2"/>
      <c r="E2" s="2"/>
      <c r="F2" s="2"/>
      <c r="G2" s="2"/>
      <c r="H2" s="2"/>
      <c r="I2" s="2"/>
      <c r="J2" s="2"/>
      <c r="K2" s="2"/>
      <c r="L2" s="2"/>
      <c r="M2" s="2"/>
      <c r="N2" s="2" t="s">
        <v>3</v>
      </c>
      <c r="O2" s="2" t="s">
        <v>619</v>
      </c>
    </row>
    <row r="3" spans="1:15" x14ac:dyDescent="0.25">
      <c r="A3" s="2" t="s">
        <v>752</v>
      </c>
      <c r="B3" s="2">
        <v>1</v>
      </c>
      <c r="C3" s="2" t="s">
        <v>3</v>
      </c>
      <c r="D3" s="2" t="s">
        <v>3</v>
      </c>
      <c r="E3" s="2"/>
      <c r="F3" s="2" t="s">
        <v>1005</v>
      </c>
      <c r="G3" s="2" t="s">
        <v>3</v>
      </c>
      <c r="H3" s="2" t="s">
        <v>3</v>
      </c>
      <c r="I3" s="2"/>
      <c r="J3" s="2"/>
      <c r="K3" s="2" t="s">
        <v>3</v>
      </c>
      <c r="L3" s="2"/>
      <c r="M3" s="2" t="s">
        <v>1002</v>
      </c>
      <c r="N3" s="2" t="s">
        <v>3</v>
      </c>
      <c r="O3" s="2" t="s">
        <v>619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6"/>
  <sheetViews>
    <sheetView zoomScale="85" zoomScaleNormal="85" workbookViewId="0">
      <selection activeCell="A6" sqref="A6"/>
    </sheetView>
  </sheetViews>
  <sheetFormatPr defaultRowHeight="15" x14ac:dyDescent="0.25"/>
  <cols>
    <col min="1" max="1" width="6.140625" style="1" bestFit="1" customWidth="1" collapsed="1"/>
    <col min="2" max="2" width="8.7109375" style="1" bestFit="1" customWidth="1" collapsed="1"/>
    <col min="3" max="6" width="17.28515625" style="1" customWidth="1" collapsed="1"/>
    <col min="7" max="7" width="16" style="1" bestFit="1" customWidth="1" collapsed="1"/>
    <col min="8" max="9" width="16" style="1" customWidth="1" collapsed="1"/>
    <col min="10" max="10" width="13.7109375" style="1" bestFit="1" customWidth="1" collapsed="1"/>
    <col min="11" max="16384" width="9.140625" style="1" collapsed="1"/>
  </cols>
  <sheetData>
    <row r="1" spans="1:10" x14ac:dyDescent="0.25">
      <c r="A1" s="4" t="s">
        <v>0</v>
      </c>
      <c r="B1" s="5" t="s">
        <v>20</v>
      </c>
      <c r="C1" s="5" t="s">
        <v>899</v>
      </c>
      <c r="D1" s="5" t="s">
        <v>905</v>
      </c>
      <c r="E1" s="5" t="s">
        <v>900</v>
      </c>
      <c r="F1" s="5" t="s">
        <v>1043</v>
      </c>
      <c r="G1" s="5" t="s">
        <v>649</v>
      </c>
      <c r="H1" s="5" t="s">
        <v>909</v>
      </c>
      <c r="I1" s="5" t="s">
        <v>79</v>
      </c>
      <c r="J1" s="9" t="s">
        <v>87</v>
      </c>
    </row>
    <row r="2" spans="1:10" x14ac:dyDescent="0.25">
      <c r="A2" s="2" t="s">
        <v>751</v>
      </c>
      <c r="B2" s="6">
        <v>1</v>
      </c>
      <c r="C2" s="2" t="s">
        <v>3</v>
      </c>
      <c r="D2" s="2" t="s">
        <v>904</v>
      </c>
      <c r="E2" s="2" t="s">
        <v>3</v>
      </c>
      <c r="F2"/>
      <c r="G2" s="13" t="s">
        <v>3</v>
      </c>
      <c r="H2" s="13" t="s">
        <v>3</v>
      </c>
      <c r="I2" s="13" t="s">
        <v>3</v>
      </c>
      <c r="J2" t="s">
        <v>1044</v>
      </c>
    </row>
    <row r="3" spans="1:10" x14ac:dyDescent="0.25">
      <c r="A3" s="2" t="s">
        <v>752</v>
      </c>
      <c r="B3" s="6">
        <v>1</v>
      </c>
      <c r="C3" s="2" t="s">
        <v>3</v>
      </c>
      <c r="D3" s="2" t="s">
        <v>904</v>
      </c>
      <c r="E3" s="2" t="s">
        <v>3</v>
      </c>
      <c r="F3"/>
      <c r="G3" s="13" t="s">
        <v>3</v>
      </c>
      <c r="H3" s="13" t="s">
        <v>3</v>
      </c>
      <c r="I3" s="13" t="s">
        <v>3</v>
      </c>
      <c r="J3"/>
    </row>
    <row r="4" spans="1:10" x14ac:dyDescent="0.25">
      <c r="A4" s="2" t="s">
        <v>917</v>
      </c>
      <c r="B4" s="6">
        <v>1</v>
      </c>
      <c r="C4"/>
      <c r="D4" s="2" t="s">
        <v>904</v>
      </c>
      <c r="E4"/>
      <c r="F4"/>
      <c r="G4" s="13" t="s">
        <v>3</v>
      </c>
      <c r="H4" s="13" t="s">
        <v>3</v>
      </c>
      <c r="I4" s="13" t="s">
        <v>3</v>
      </c>
      <c r="J4" t="s">
        <v>1044</v>
      </c>
    </row>
    <row r="5" spans="1:10" x14ac:dyDescent="0.25">
      <c r="A5" s="2" t="s">
        <v>918</v>
      </c>
      <c r="B5" s="6">
        <v>1</v>
      </c>
      <c r="C5"/>
      <c r="D5" s="2" t="s">
        <v>904</v>
      </c>
      <c r="E5"/>
      <c r="F5"/>
      <c r="G5" s="13" t="s">
        <v>3</v>
      </c>
      <c r="H5" s="13" t="s">
        <v>3</v>
      </c>
      <c r="I5" s="13" t="s">
        <v>3</v>
      </c>
      <c r="J5" t="s">
        <v>1044</v>
      </c>
    </row>
    <row r="6" spans="1:10" x14ac:dyDescent="0.25">
      <c r="A6" s="2" t="s">
        <v>1105</v>
      </c>
      <c r="B6" s="6">
        <v>1</v>
      </c>
      <c r="C6" s="2" t="s">
        <v>3</v>
      </c>
      <c r="D6" s="2" t="s">
        <v>904</v>
      </c>
      <c r="E6" s="2" t="s">
        <v>3</v>
      </c>
      <c r="F6"/>
      <c r="G6" s="13" t="s">
        <v>3</v>
      </c>
      <c r="H6" s="13" t="s">
        <v>3</v>
      </c>
      <c r="I6" s="13" t="s">
        <v>3</v>
      </c>
      <c r="J6" t="s">
        <v>1044</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4"/>
  <sheetViews>
    <sheetView zoomScale="85" zoomScaleNormal="85" workbookViewId="0">
      <selection activeCell="A5" sqref="A5"/>
    </sheetView>
  </sheetViews>
  <sheetFormatPr defaultRowHeight="15" x14ac:dyDescent="0.25"/>
  <cols>
    <col min="1" max="1" width="6.140625" style="1" bestFit="1" customWidth="1" collapsed="1"/>
    <col min="2" max="2" width="8.7109375" style="1" bestFit="1" customWidth="1" collapsed="1"/>
    <col min="3" max="3" width="8.7109375" style="1" customWidth="1" collapsed="1"/>
    <col min="4" max="4" width="13.28515625" style="1" bestFit="1" customWidth="1" collapsed="1"/>
    <col min="5" max="5" width="31.28515625" style="1" bestFit="1" customWidth="1" collapsed="1"/>
    <col min="6" max="6" width="8.7109375" style="1" customWidth="1" collapsed="1"/>
    <col min="7" max="7" width="102.85546875" style="1" bestFit="1" customWidth="1" collapsed="1"/>
    <col min="8" max="8" width="18.42578125" style="1" bestFit="1" customWidth="1" collapsed="1"/>
    <col min="9" max="19" width="8.7109375" style="1" customWidth="1" collapsed="1"/>
    <col min="20" max="16384" width="9.140625" style="1" collapsed="1"/>
  </cols>
  <sheetData>
    <row r="1" spans="1:19" x14ac:dyDescent="0.25">
      <c r="A1" s="4" t="s">
        <v>0</v>
      </c>
      <c r="B1" s="5" t="s">
        <v>20</v>
      </c>
      <c r="C1" s="5" t="s">
        <v>902</v>
      </c>
      <c r="D1" s="5" t="s">
        <v>901</v>
      </c>
      <c r="E1" s="5" t="s">
        <v>903</v>
      </c>
      <c r="F1" s="5" t="s">
        <v>906</v>
      </c>
      <c r="G1" s="5" t="s">
        <v>907</v>
      </c>
      <c r="H1" s="5" t="s">
        <v>908</v>
      </c>
      <c r="I1" s="5"/>
      <c r="J1" s="5"/>
      <c r="K1" s="5"/>
      <c r="L1" s="5"/>
      <c r="M1" s="5"/>
      <c r="N1" s="5"/>
      <c r="O1" s="5"/>
      <c r="P1" s="5"/>
      <c r="Q1" s="5"/>
      <c r="R1" s="5"/>
      <c r="S1" s="5"/>
    </row>
    <row r="2" spans="1:19" x14ac:dyDescent="0.25">
      <c r="A2" s="2" t="s">
        <v>751</v>
      </c>
      <c r="B2" s="6">
        <v>1</v>
      </c>
      <c r="C2" s="6" t="s">
        <v>3</v>
      </c>
      <c r="D2" s="6"/>
      <c r="E2" s="6"/>
      <c r="F2" s="6"/>
      <c r="G2" s="6"/>
      <c r="H2" s="6" t="s">
        <v>3</v>
      </c>
      <c r="I2" s="6"/>
      <c r="J2" s="6"/>
      <c r="K2" s="6"/>
      <c r="L2" s="6"/>
      <c r="M2" s="6"/>
      <c r="N2" s="6"/>
      <c r="O2" s="6"/>
      <c r="P2" s="6"/>
      <c r="Q2" s="6"/>
      <c r="R2" s="6"/>
      <c r="S2" s="6"/>
    </row>
    <row r="3" spans="1:19" x14ac:dyDescent="0.25">
      <c r="A3" s="2" t="s">
        <v>752</v>
      </c>
      <c r="B3" s="6">
        <v>1</v>
      </c>
      <c r="C3" s="6" t="s">
        <v>3</v>
      </c>
      <c r="D3" s="6" t="s">
        <v>3</v>
      </c>
      <c r="E3" s="6" t="s">
        <v>921</v>
      </c>
      <c r="F3" s="6" t="s">
        <v>3</v>
      </c>
      <c r="G3" s="6" t="s">
        <v>920</v>
      </c>
      <c r="H3" s="6" t="s">
        <v>3</v>
      </c>
      <c r="I3" s="6"/>
      <c r="J3" s="6"/>
      <c r="K3" s="6"/>
      <c r="L3" s="6"/>
      <c r="M3" s="6"/>
      <c r="N3" s="6"/>
      <c r="O3" s="6"/>
      <c r="P3" s="6"/>
      <c r="Q3" s="6"/>
      <c r="R3" s="6"/>
      <c r="S3" s="6"/>
    </row>
    <row r="4" spans="1:19" x14ac:dyDescent="0.25">
      <c r="A4" s="2" t="s">
        <v>1105</v>
      </c>
      <c r="B4" s="6">
        <v>1</v>
      </c>
      <c r="C4" s="6" t="s">
        <v>3</v>
      </c>
      <c r="D4" s="6" t="s">
        <v>3</v>
      </c>
      <c r="E4" s="6" t="s">
        <v>921</v>
      </c>
      <c r="F4" s="6" t="s">
        <v>3</v>
      </c>
      <c r="G4" s="6" t="s">
        <v>920</v>
      </c>
      <c r="H4" s="6" t="s">
        <v>3</v>
      </c>
      <c r="I4" s="6"/>
      <c r="J4" s="6"/>
      <c r="K4" s="6"/>
      <c r="L4" s="6"/>
      <c r="M4" s="6"/>
      <c r="N4" s="6"/>
      <c r="O4" s="6"/>
      <c r="P4" s="6"/>
      <c r="Q4" s="6"/>
      <c r="R4" s="6"/>
      <c r="S4" s="6"/>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3"/>
  <sheetViews>
    <sheetView zoomScale="85" zoomScaleNormal="85" workbookViewId="0">
      <selection activeCell="A4" sqref="A4"/>
    </sheetView>
  </sheetViews>
  <sheetFormatPr defaultRowHeight="15" x14ac:dyDescent="0.25"/>
  <cols>
    <col min="1" max="1" width="6.140625" style="1" bestFit="1" customWidth="1" collapsed="1"/>
    <col min="2" max="2" width="8.7109375" style="1" bestFit="1" customWidth="1" collapsed="1"/>
    <col min="3" max="3" width="20" style="1" bestFit="1" customWidth="1" collapsed="1"/>
    <col min="4" max="16384" width="9.140625" style="1" collapsed="1"/>
  </cols>
  <sheetData>
    <row r="1" spans="1:3" x14ac:dyDescent="0.25">
      <c r="A1" s="4" t="s">
        <v>0</v>
      </c>
      <c r="B1" s="5" t="s">
        <v>20</v>
      </c>
      <c r="C1" s="5" t="s">
        <v>651</v>
      </c>
    </row>
    <row r="2" spans="1:3" x14ac:dyDescent="0.25">
      <c r="A2" s="2" t="s">
        <v>751</v>
      </c>
      <c r="B2" s="6">
        <v>1</v>
      </c>
      <c r="C2" s="2" t="s">
        <v>650</v>
      </c>
    </row>
    <row r="3" spans="1:3" x14ac:dyDescent="0.25">
      <c r="A3" s="2" t="s">
        <v>752</v>
      </c>
      <c r="B3" s="6">
        <v>1</v>
      </c>
      <c r="C3" s="2" t="s">
        <v>650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C3"/>
  <sheetViews>
    <sheetView zoomScale="85" zoomScaleNormal="85" workbookViewId="0">
      <selection activeCell="A4" sqref="A4"/>
    </sheetView>
  </sheetViews>
  <sheetFormatPr defaultRowHeight="15" x14ac:dyDescent="0.25"/>
  <cols>
    <col min="1" max="1" width="6.140625" style="1" bestFit="1" customWidth="1" collapsed="1"/>
    <col min="2" max="2" width="8.7109375" style="1" bestFit="1" customWidth="1" collapsed="1"/>
    <col min="3" max="3" width="17.28515625" style="1" bestFit="1" customWidth="1" collapsed="1"/>
    <col min="4" max="16384" width="9.140625" style="1" collapsed="1"/>
  </cols>
  <sheetData>
    <row r="1" spans="1:3" x14ac:dyDescent="0.25">
      <c r="A1" s="4" t="s">
        <v>0</v>
      </c>
      <c r="B1" s="5" t="s">
        <v>20</v>
      </c>
      <c r="C1" s="5" t="s">
        <v>652</v>
      </c>
    </row>
    <row r="2" spans="1:3" x14ac:dyDescent="0.25">
      <c r="A2" s="2" t="s">
        <v>751</v>
      </c>
      <c r="B2" s="6">
        <v>1</v>
      </c>
      <c r="C2" s="2" t="s">
        <v>650</v>
      </c>
    </row>
    <row r="3" spans="1:3" x14ac:dyDescent="0.25">
      <c r="A3" s="2" t="s">
        <v>752</v>
      </c>
      <c r="B3" s="6">
        <v>1</v>
      </c>
      <c r="C3" s="2" t="s">
        <v>650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P12"/>
  <sheetViews>
    <sheetView zoomScale="85" zoomScaleNormal="85" workbookViewId="0">
      <selection activeCell="E4" sqref="E4"/>
    </sheetView>
  </sheetViews>
  <sheetFormatPr defaultRowHeight="15" x14ac:dyDescent="0.25"/>
  <cols>
    <col min="1" max="1" width="7.140625" style="14" bestFit="1" customWidth="1" collapsed="1"/>
    <col min="2" max="2" width="8.7109375" style="14" bestFit="1" customWidth="1" collapsed="1"/>
    <col min="3" max="4" width="15.5703125" style="14" bestFit="1" customWidth="1" collapsed="1"/>
    <col min="5" max="5" width="15.5703125" style="14" customWidth="1" collapsed="1"/>
    <col min="6" max="6" width="10.42578125" style="14" bestFit="1" customWidth="1" collapsed="1"/>
    <col min="7" max="7" width="14.42578125" style="14" bestFit="1" customWidth="1" collapsed="1"/>
    <col min="8" max="8" width="12" style="14" bestFit="1" customWidth="1" collapsed="1"/>
    <col min="9" max="9" width="16.42578125" style="14" bestFit="1" customWidth="1" collapsed="1"/>
    <col min="10" max="10" width="9.85546875" style="14" customWidth="1" collapsed="1"/>
    <col min="11" max="11" width="8.5703125" style="14" customWidth="1" collapsed="1"/>
    <col min="12" max="12" width="21.85546875" style="14" bestFit="1" customWidth="1" collapsed="1"/>
    <col min="13" max="13" width="8.42578125" style="14" customWidth="1" collapsed="1"/>
    <col min="14" max="14" width="33.7109375" style="14" bestFit="1" customWidth="1" collapsed="1"/>
    <col min="15" max="15" width="135.5703125" style="14" bestFit="1" customWidth="1" collapsed="1"/>
    <col min="16" max="16" width="37.5703125" style="14" bestFit="1" customWidth="1" collapsed="1"/>
    <col min="17" max="16384" width="9.140625" style="14" collapsed="1"/>
  </cols>
  <sheetData>
    <row r="1" spans="1:16" x14ac:dyDescent="0.25">
      <c r="A1" s="9" t="s">
        <v>0</v>
      </c>
      <c r="B1" s="5" t="s">
        <v>20</v>
      </c>
      <c r="C1" s="5" t="s">
        <v>640</v>
      </c>
      <c r="D1" s="5" t="s">
        <v>48</v>
      </c>
      <c r="E1" s="5" t="s">
        <v>87</v>
      </c>
      <c r="F1" s="5" t="s">
        <v>77</v>
      </c>
      <c r="G1" s="9" t="s">
        <v>203</v>
      </c>
      <c r="H1" s="9" t="s">
        <v>168</v>
      </c>
      <c r="I1" s="9" t="s">
        <v>157</v>
      </c>
      <c r="J1" s="23" t="s">
        <v>1055</v>
      </c>
      <c r="K1" s="9" t="s">
        <v>133</v>
      </c>
      <c r="L1" s="9" t="s">
        <v>209</v>
      </c>
      <c r="M1" s="9" t="s">
        <v>210</v>
      </c>
      <c r="N1" s="9" t="s">
        <v>212</v>
      </c>
      <c r="O1" s="9" t="s">
        <v>206</v>
      </c>
      <c r="P1" s="1"/>
    </row>
    <row r="2" spans="1:16" x14ac:dyDescent="0.25">
      <c r="A2" s="2" t="s">
        <v>346</v>
      </c>
      <c r="B2" s="2">
        <v>1</v>
      </c>
      <c r="C2" s="36" t="s">
        <v>87</v>
      </c>
      <c r="D2" s="12" t="s">
        <v>1164</v>
      </c>
      <c r="E2" s="12" t="s">
        <v>1165</v>
      </c>
      <c r="F2"/>
      <c r="G2"/>
      <c r="H2"/>
      <c r="I2"/>
      <c r="J2"/>
      <c r="K2"/>
      <c r="L2"/>
      <c r="M2"/>
      <c r="N2"/>
      <c r="O2"/>
      <c r="P2"/>
    </row>
    <row r="3" spans="1:16" x14ac:dyDescent="0.25">
      <c r="A3" s="2" t="s">
        <v>347</v>
      </c>
      <c r="B3" s="2">
        <v>1</v>
      </c>
      <c r="C3" s="36" t="s">
        <v>87</v>
      </c>
      <c r="D3" s="12" t="s">
        <v>1166</v>
      </c>
      <c r="E3" s="12" t="s">
        <v>1167</v>
      </c>
      <c r="F3"/>
      <c r="G3"/>
      <c r="H3"/>
      <c r="I3"/>
      <c r="J3"/>
      <c r="K3"/>
      <c r="L3"/>
      <c r="M3"/>
      <c r="N3"/>
      <c r="O3"/>
      <c r="P3"/>
    </row>
    <row r="4" spans="1:16" x14ac:dyDescent="0.25">
      <c r="A4" s="2" t="s">
        <v>353</v>
      </c>
      <c r="B4" s="2">
        <v>1</v>
      </c>
      <c r="C4" s="36" t="s">
        <v>87</v>
      </c>
      <c r="D4" s="12" t="s">
        <v>1169</v>
      </c>
      <c r="E4" s="58" t="s">
        <v>1170</v>
      </c>
      <c r="F4"/>
      <c r="G4"/>
      <c r="H4"/>
      <c r="I4"/>
      <c r="J4"/>
      <c r="K4"/>
      <c r="L4"/>
      <c r="M4"/>
      <c r="N4"/>
      <c r="O4"/>
      <c r="P4"/>
    </row>
    <row r="5" spans="1:16" x14ac:dyDescent="0.25">
      <c r="A5" s="2" t="s">
        <v>204</v>
      </c>
      <c r="B5" s="2">
        <v>1</v>
      </c>
      <c r="C5"/>
      <c r="D5"/>
      <c r="E5"/>
      <c r="F5" s="2" t="s">
        <v>3</v>
      </c>
      <c r="G5" s="2" t="s">
        <v>3</v>
      </c>
      <c r="H5"/>
      <c r="I5" s="12" t="str">
        <f>D4</f>
        <v>147931073564756</v>
      </c>
      <c r="J5" s="2" t="s">
        <v>3</v>
      </c>
      <c r="K5" s="2" t="s">
        <v>3</v>
      </c>
      <c r="L5" s="12" t="str">
        <f>E4</f>
        <v>46WECAA00SM</v>
      </c>
      <c r="M5" s="12" t="s">
        <v>3</v>
      </c>
      <c r="N5" s="12" t="str">
        <f>(D4&amp;":::"&amp;D2)</f>
        <v>147931073564756:::147931021118821</v>
      </c>
      <c r="O5" s="2" t="str">
        <f>("POLICYMERGEVALIDATION:::Account Merge is complete. Please review and update AIF in other systems as needed."&amp;":::"&amp;E2&amp;":::In Force")</f>
        <v>POLICYMERGEVALIDATION:::Account Merge is complete. Please review and update AIF in other systems as needed.:::46WECAA00SI:::In Force</v>
      </c>
      <c r="P5" s="1" t="s">
        <v>381</v>
      </c>
    </row>
    <row r="6" spans="1:16" x14ac:dyDescent="0.25">
      <c r="A6" s="2" t="s">
        <v>211</v>
      </c>
      <c r="B6" s="2">
        <v>1</v>
      </c>
      <c r="C6"/>
      <c r="D6"/>
      <c r="E6"/>
      <c r="F6" s="2" t="s">
        <v>3</v>
      </c>
      <c r="G6" s="2" t="s">
        <v>3</v>
      </c>
      <c r="H6"/>
      <c r="I6" s="12" t="str">
        <f>D3</f>
        <v>147931040318608</v>
      </c>
      <c r="J6" s="2" t="s">
        <v>3</v>
      </c>
      <c r="K6" s="2" t="s">
        <v>3</v>
      </c>
      <c r="L6" s="22" t="str">
        <f>E3</f>
        <v>46WECAA00SJ</v>
      </c>
      <c r="M6" s="12" t="s">
        <v>3</v>
      </c>
      <c r="N6"/>
      <c r="O6" s="2" t="str">
        <f>("POLICYMOVEVALIDATION:::Policy Move is complete. Please review and update AIF in PolicyCenter and other systems as needed."&amp;":::"&amp;E3)</f>
        <v>POLICYMOVEVALIDATION:::Policy Move is complete. Please review and update AIF in PolicyCenter and other systems as needed.:::46WECAA00SJ</v>
      </c>
      <c r="P6" s="1" t="s">
        <v>382</v>
      </c>
    </row>
    <row r="7" spans="1:16" x14ac:dyDescent="0.25">
      <c r="A7" s="2" t="s">
        <v>213</v>
      </c>
      <c r="B7" s="2">
        <v>1</v>
      </c>
      <c r="C7"/>
      <c r="D7"/>
      <c r="E7"/>
      <c r="F7" s="2" t="s">
        <v>3</v>
      </c>
      <c r="G7"/>
      <c r="H7"/>
      <c r="I7"/>
      <c r="J7"/>
      <c r="K7"/>
      <c r="L7"/>
      <c r="M7"/>
      <c r="N7"/>
      <c r="O7" s="2" t="s">
        <v>215</v>
      </c>
      <c r="P7"/>
    </row>
    <row r="8" spans="1:16" x14ac:dyDescent="0.25">
      <c r="A8" s="2" t="s">
        <v>216</v>
      </c>
      <c r="B8" s="2">
        <v>1</v>
      </c>
      <c r="C8"/>
      <c r="D8"/>
      <c r="E8"/>
      <c r="F8" s="2" t="s">
        <v>3</v>
      </c>
      <c r="G8" s="2" t="s">
        <v>3</v>
      </c>
      <c r="H8"/>
      <c r="I8" s="24" t="s">
        <v>142</v>
      </c>
      <c r="J8" s="2" t="s">
        <v>3</v>
      </c>
      <c r="K8"/>
      <c r="L8"/>
      <c r="M8"/>
      <c r="N8"/>
      <c r="O8" s="2" t="s">
        <v>218</v>
      </c>
      <c r="P8"/>
    </row>
    <row r="9" spans="1:16" x14ac:dyDescent="0.25">
      <c r="A9" s="2" t="s">
        <v>216</v>
      </c>
      <c r="B9" s="2">
        <v>2</v>
      </c>
      <c r="C9"/>
      <c r="D9"/>
      <c r="E9"/>
      <c r="F9"/>
      <c r="G9"/>
      <c r="H9" s="2" t="s">
        <v>3</v>
      </c>
      <c r="I9" s="13" t="str">
        <f>D2</f>
        <v>147931021118821</v>
      </c>
      <c r="J9" s="2" t="s">
        <v>3</v>
      </c>
      <c r="K9"/>
      <c r="L9"/>
      <c r="M9"/>
      <c r="N9"/>
      <c r="O9" s="2" t="str">
        <f>("TARGETACCOUNTNOTEXIST"&amp;":::"&amp;D2)</f>
        <v>TARGETACCOUNTNOTEXIST:::147931021118821</v>
      </c>
      <c r="P9"/>
    </row>
    <row r="10" spans="1:16" x14ac:dyDescent="0.25">
      <c r="A10" s="2" t="s">
        <v>219</v>
      </c>
      <c r="B10" s="2">
        <v>1</v>
      </c>
      <c r="C10"/>
      <c r="D10"/>
      <c r="E10"/>
      <c r="F10" s="2" t="s">
        <v>3</v>
      </c>
      <c r="G10" s="2" t="s">
        <v>3</v>
      </c>
      <c r="H10"/>
      <c r="I10" s="13" t="str">
        <f>D3</f>
        <v>147931040318608</v>
      </c>
      <c r="J10" s="2" t="s">
        <v>3</v>
      </c>
      <c r="K10" s="2" t="s">
        <v>3</v>
      </c>
      <c r="L10" s="12" t="str">
        <f>PolicyMove!E3</f>
        <v>46WECAA00SJ</v>
      </c>
      <c r="M10"/>
      <c r="N10"/>
      <c r="O10"/>
      <c r="P10" s="21" t="s">
        <v>224</v>
      </c>
    </row>
    <row r="11" spans="1:16" x14ac:dyDescent="0.25">
      <c r="A11" s="2" t="s">
        <v>222</v>
      </c>
      <c r="B11" s="2">
        <v>1</v>
      </c>
      <c r="C11"/>
      <c r="D11"/>
      <c r="E11"/>
      <c r="F11" s="2" t="s">
        <v>3</v>
      </c>
      <c r="G11" s="2" t="s">
        <v>3</v>
      </c>
      <c r="H11"/>
      <c r="I11" s="13" t="str">
        <f>D4</f>
        <v>147931073564756</v>
      </c>
      <c r="J11" s="2" t="s">
        <v>3</v>
      </c>
      <c r="K11" s="2" t="s">
        <v>3</v>
      </c>
      <c r="L11" s="38" t="str">
        <f>PolicyMove!E4</f>
        <v>46WECAA00SM</v>
      </c>
      <c r="M11" s="12" t="s">
        <v>3</v>
      </c>
      <c r="N11"/>
      <c r="O11"/>
      <c r="P11" s="21" t="s">
        <v>227</v>
      </c>
    </row>
    <row r="12" spans="1:16" x14ac:dyDescent="0.25">
      <c r="A12" s="2" t="s">
        <v>226</v>
      </c>
      <c r="B12" s="2">
        <v>1</v>
      </c>
      <c r="C12"/>
      <c r="D12"/>
      <c r="E12"/>
      <c r="F12" s="2" t="s">
        <v>3</v>
      </c>
      <c r="G12" s="2" t="s">
        <v>3</v>
      </c>
      <c r="H12"/>
      <c r="I12" s="13" t="str">
        <f>D3</f>
        <v>147931040318608</v>
      </c>
      <c r="J12" s="2" t="s">
        <v>3</v>
      </c>
      <c r="K12"/>
      <c r="L12"/>
      <c r="M12"/>
      <c r="N12"/>
      <c r="O12"/>
      <c r="P12"/>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S36"/>
  <sheetViews>
    <sheetView zoomScale="85" zoomScaleNormal="85" workbookViewId="0">
      <pane xSplit="1" ySplit="1" topLeftCell="B2" activePane="bottomRight" state="frozen"/>
      <selection activeCell="L5" sqref="L5"/>
      <selection pane="topRight" activeCell="L5" sqref="L5"/>
      <selection pane="bottomLeft" activeCell="L5" sqref="L5"/>
      <selection pane="bottomRight" activeCell="B17" sqref="B17"/>
    </sheetView>
  </sheetViews>
  <sheetFormatPr defaultRowHeight="15" x14ac:dyDescent="0.25"/>
  <cols>
    <col min="1" max="1" width="7.140625" style="14" bestFit="1" customWidth="1" collapsed="1"/>
    <col min="2" max="2" width="8.7109375" style="14" bestFit="1" customWidth="1" collapsed="1"/>
    <col min="3" max="3" width="13.7109375" style="14" bestFit="1" customWidth="1" collapsed="1"/>
    <col min="4" max="4" width="15.5703125" style="14" bestFit="1" customWidth="1" collapsed="1"/>
    <col min="5" max="5" width="13.7109375" style="14" bestFit="1" customWidth="1" collapsed="1"/>
    <col min="6" max="6" width="10.42578125" style="14" bestFit="1" customWidth="1" collapsed="1"/>
    <col min="7" max="7" width="12" style="14" bestFit="1" customWidth="1" collapsed="1"/>
    <col min="8" max="8" width="14.7109375" style="14" bestFit="1" customWidth="1" collapsed="1"/>
    <col min="9" max="9" width="11.28515625" style="14" bestFit="1" customWidth="1" collapsed="1"/>
    <col min="10" max="10" width="23.85546875" style="14" bestFit="1" customWidth="1" collapsed="1"/>
    <col min="11" max="11" width="19.42578125" style="14" bestFit="1" customWidth="1" collapsed="1"/>
    <col min="12" max="12" width="15" style="14" bestFit="1" customWidth="1" collapsed="1"/>
    <col min="13" max="13" width="11.7109375" style="14" bestFit="1" customWidth="1" collapsed="1"/>
    <col min="14" max="14" width="16.42578125" style="14" bestFit="1" customWidth="1" collapsed="1"/>
    <col min="15" max="15" width="9.7109375" style="14" bestFit="1" customWidth="1" collapsed="1"/>
    <col min="16" max="16" width="15.28515625" style="14" bestFit="1" customWidth="1" collapsed="1"/>
    <col min="17" max="17" width="18" style="14" bestFit="1" customWidth="1" collapsed="1"/>
    <col min="18" max="18" width="20.42578125" style="14" bestFit="1" customWidth="1" collapsed="1"/>
    <col min="19" max="19" width="152.42578125" style="14" bestFit="1" customWidth="1" collapsed="1"/>
    <col min="20" max="16384" width="9.140625" style="14" collapsed="1"/>
  </cols>
  <sheetData>
    <row r="1" spans="1:19" x14ac:dyDescent="0.25">
      <c r="A1" s="9" t="s">
        <v>0</v>
      </c>
      <c r="B1" s="5" t="s">
        <v>20</v>
      </c>
      <c r="C1" s="5" t="s">
        <v>640</v>
      </c>
      <c r="D1" s="5" t="s">
        <v>48</v>
      </c>
      <c r="E1" s="5" t="s">
        <v>87</v>
      </c>
      <c r="F1" s="5" t="s">
        <v>77</v>
      </c>
      <c r="G1" s="9" t="s">
        <v>168</v>
      </c>
      <c r="H1" s="9" t="s">
        <v>172</v>
      </c>
      <c r="I1" s="9" t="s">
        <v>157</v>
      </c>
      <c r="J1" s="9" t="s">
        <v>158</v>
      </c>
      <c r="K1" s="5" t="s">
        <v>192</v>
      </c>
      <c r="L1" s="5" t="s">
        <v>188</v>
      </c>
      <c r="M1" s="5" t="s">
        <v>189</v>
      </c>
      <c r="N1" s="5" t="s">
        <v>190</v>
      </c>
      <c r="O1" s="23" t="s">
        <v>1055</v>
      </c>
      <c r="P1" s="9" t="s">
        <v>210</v>
      </c>
      <c r="Q1" s="9" t="s">
        <v>229</v>
      </c>
      <c r="R1" s="9" t="s">
        <v>223</v>
      </c>
      <c r="S1" s="9" t="s">
        <v>208</v>
      </c>
    </row>
    <row r="2" spans="1:19" x14ac:dyDescent="0.25">
      <c r="A2" s="2" t="s">
        <v>346</v>
      </c>
      <c r="B2" s="2">
        <v>1</v>
      </c>
      <c r="C2" s="36" t="s">
        <v>87</v>
      </c>
      <c r="D2" t="s">
        <v>1164</v>
      </c>
      <c r="E2" t="s">
        <v>1165</v>
      </c>
      <c r="F2"/>
      <c r="G2"/>
      <c r="H2"/>
      <c r="I2"/>
      <c r="J2"/>
      <c r="K2"/>
      <c r="L2"/>
      <c r="M2"/>
      <c r="N2"/>
      <c r="O2"/>
      <c r="P2"/>
      <c r="Q2"/>
      <c r="R2"/>
      <c r="S2"/>
    </row>
    <row r="3" spans="1:19" x14ac:dyDescent="0.25">
      <c r="A3"/>
      <c r="B3" s="2">
        <v>1</v>
      </c>
      <c r="C3"/>
      <c r="D3"/>
      <c r="E3"/>
      <c r="F3"/>
      <c r="G3"/>
      <c r="H3"/>
      <c r="I3"/>
      <c r="J3"/>
      <c r="K3"/>
      <c r="L3"/>
      <c r="M3"/>
      <c r="N3"/>
      <c r="O3"/>
      <c r="P3"/>
      <c r="Q3"/>
      <c r="R3"/>
      <c r="S3" s="2" t="str">
        <f>("POLICYMOVEVALIDATION"&amp;":::"&amp;E2&amp;":::In Force")</f>
        <v>POLICYMOVEVALIDATION:::46WECAA00SI:::In Force</v>
      </c>
    </row>
    <row r="4" spans="1:19" x14ac:dyDescent="0.25">
      <c r="A4" s="2" t="s">
        <v>219</v>
      </c>
      <c r="B4" s="2">
        <v>1</v>
      </c>
      <c r="C4"/>
      <c r="D4"/>
      <c r="E4"/>
      <c r="F4"/>
      <c r="G4"/>
      <c r="H4"/>
      <c r="I4"/>
      <c r="J4"/>
      <c r="K4"/>
      <c r="L4"/>
      <c r="M4"/>
      <c r="N4"/>
      <c r="O4"/>
      <c r="P4"/>
      <c r="Q4"/>
      <c r="R4" s="2" t="s">
        <v>3</v>
      </c>
      <c r="S4" s="2" t="s">
        <v>225</v>
      </c>
    </row>
    <row r="5" spans="1:19" x14ac:dyDescent="0.25">
      <c r="A5" s="2" t="s">
        <v>222</v>
      </c>
      <c r="B5" s="2">
        <v>1</v>
      </c>
      <c r="C5"/>
      <c r="D5"/>
      <c r="E5"/>
      <c r="F5"/>
      <c r="G5"/>
      <c r="H5"/>
      <c r="I5"/>
      <c r="J5"/>
      <c r="K5"/>
      <c r="L5"/>
      <c r="M5"/>
      <c r="N5"/>
      <c r="O5"/>
      <c r="P5" s="12" t="s">
        <v>3</v>
      </c>
      <c r="Q5" s="12" t="s">
        <v>3</v>
      </c>
      <c r="R5"/>
      <c r="S5" s="2" t="s">
        <v>228</v>
      </c>
    </row>
    <row r="6" spans="1:19" x14ac:dyDescent="0.25">
      <c r="A6" s="2" t="s">
        <v>226</v>
      </c>
      <c r="B6" s="2">
        <v>1</v>
      </c>
      <c r="C6"/>
      <c r="D6"/>
      <c r="E6"/>
      <c r="F6"/>
      <c r="G6" s="2" t="s">
        <v>3</v>
      </c>
      <c r="H6"/>
      <c r="I6"/>
      <c r="J6"/>
      <c r="K6"/>
      <c r="L6"/>
      <c r="M6"/>
      <c r="N6"/>
      <c r="O6"/>
      <c r="P6"/>
      <c r="Q6"/>
      <c r="R6"/>
      <c r="S6" s="2" t="s">
        <v>167</v>
      </c>
    </row>
    <row r="7" spans="1:19" x14ac:dyDescent="0.25">
      <c r="A7" s="2" t="s">
        <v>226</v>
      </c>
      <c r="B7" s="2">
        <v>2</v>
      </c>
      <c r="C7"/>
      <c r="D7"/>
      <c r="E7"/>
      <c r="F7"/>
      <c r="G7"/>
      <c r="H7"/>
      <c r="I7"/>
      <c r="J7"/>
      <c r="K7"/>
      <c r="L7"/>
      <c r="M7"/>
      <c r="N7"/>
      <c r="O7" s="2" t="s">
        <v>3</v>
      </c>
      <c r="P7"/>
      <c r="Q7"/>
      <c r="R7"/>
      <c r="S7" s="2" t="s">
        <v>230</v>
      </c>
    </row>
    <row r="8" spans="1:19" x14ac:dyDescent="0.25">
      <c r="A8" s="2" t="s">
        <v>226</v>
      </c>
      <c r="B8" s="2">
        <v>3</v>
      </c>
      <c r="C8"/>
      <c r="D8"/>
      <c r="E8"/>
      <c r="F8"/>
      <c r="G8" s="2" t="s">
        <v>3</v>
      </c>
      <c r="H8"/>
      <c r="I8"/>
      <c r="J8" s="2" t="s">
        <v>231</v>
      </c>
      <c r="K8"/>
      <c r="L8"/>
      <c r="M8"/>
      <c r="N8"/>
      <c r="O8" s="2" t="s">
        <v>3</v>
      </c>
      <c r="P8"/>
      <c r="Q8"/>
      <c r="R8"/>
      <c r="S8" s="2" t="s">
        <v>232</v>
      </c>
    </row>
    <row r="9" spans="1:19" x14ac:dyDescent="0.25">
      <c r="A9" s="2" t="s">
        <v>226</v>
      </c>
      <c r="B9" s="2">
        <v>4</v>
      </c>
      <c r="C9"/>
      <c r="D9"/>
      <c r="E9"/>
      <c r="F9"/>
      <c r="G9" s="2" t="s">
        <v>3</v>
      </c>
      <c r="H9" s="2" t="s">
        <v>3</v>
      </c>
      <c r="I9"/>
      <c r="J9" s="2" t="s">
        <v>171</v>
      </c>
      <c r="K9"/>
      <c r="L9"/>
      <c r="M9"/>
      <c r="N9"/>
      <c r="O9" s="2" t="s">
        <v>3</v>
      </c>
      <c r="P9"/>
      <c r="Q9"/>
      <c r="R9"/>
      <c r="S9" s="2" t="s">
        <v>233</v>
      </c>
    </row>
    <row r="10" spans="1:19" x14ac:dyDescent="0.25">
      <c r="A10" s="2" t="s">
        <v>226</v>
      </c>
      <c r="B10" s="2">
        <v>5</v>
      </c>
      <c r="C10"/>
      <c r="D10"/>
      <c r="E10"/>
      <c r="F10"/>
      <c r="G10" s="2" t="s">
        <v>3</v>
      </c>
      <c r="H10"/>
      <c r="I10"/>
      <c r="J10"/>
      <c r="K10" s="2">
        <v>123456</v>
      </c>
      <c r="L10"/>
      <c r="M10"/>
      <c r="N10"/>
      <c r="O10" s="2" t="s">
        <v>3</v>
      </c>
      <c r="P10"/>
      <c r="Q10"/>
      <c r="R10"/>
      <c r="S10" s="2" t="s">
        <v>1064</v>
      </c>
    </row>
    <row r="11" spans="1:19" x14ac:dyDescent="0.25">
      <c r="A11" s="2" t="s">
        <v>226</v>
      </c>
      <c r="B11" s="2">
        <v>6</v>
      </c>
      <c r="C11"/>
      <c r="D11"/>
      <c r="E11"/>
      <c r="F11"/>
      <c r="G11" s="2" t="s">
        <v>3</v>
      </c>
      <c r="H11"/>
      <c r="I11"/>
      <c r="J11"/>
      <c r="K11"/>
      <c r="L11" s="2">
        <v>12345678</v>
      </c>
      <c r="M11"/>
      <c r="N11"/>
      <c r="O11" s="2" t="s">
        <v>3</v>
      </c>
      <c r="P11"/>
      <c r="Q11"/>
      <c r="R11"/>
      <c r="S11" s="2" t="s">
        <v>319</v>
      </c>
    </row>
    <row r="12" spans="1:19" x14ac:dyDescent="0.25">
      <c r="A12" s="2" t="s">
        <v>226</v>
      </c>
      <c r="B12" s="2">
        <v>7</v>
      </c>
      <c r="C12"/>
      <c r="D12"/>
      <c r="E12"/>
      <c r="F12"/>
      <c r="G12" s="2" t="s">
        <v>3</v>
      </c>
      <c r="H12"/>
      <c r="I12" s="2">
        <v>1234567890</v>
      </c>
      <c r="J12"/>
      <c r="K12"/>
      <c r="L12"/>
      <c r="M12"/>
      <c r="N12"/>
      <c r="O12" s="2" t="s">
        <v>3</v>
      </c>
      <c r="P12"/>
      <c r="Q12"/>
      <c r="R12"/>
      <c r="S12" s="2" t="s">
        <v>320</v>
      </c>
    </row>
    <row r="13" spans="1:19" x14ac:dyDescent="0.25">
      <c r="A13" s="2" t="s">
        <v>226</v>
      </c>
      <c r="B13" s="2">
        <v>8</v>
      </c>
      <c r="C13"/>
      <c r="D13"/>
      <c r="E13"/>
      <c r="F13"/>
      <c r="G13" s="2" t="s">
        <v>3</v>
      </c>
      <c r="H13"/>
      <c r="I13"/>
      <c r="J13"/>
      <c r="K13"/>
      <c r="L13"/>
      <c r="M13" s="13">
        <v>12345678</v>
      </c>
      <c r="N13"/>
      <c r="O13" s="2" t="s">
        <v>3</v>
      </c>
      <c r="P13"/>
      <c r="Q13"/>
      <c r="R13"/>
      <c r="S13" s="2" t="s">
        <v>237</v>
      </c>
    </row>
    <row r="14" spans="1:19" x14ac:dyDescent="0.25">
      <c r="A14" s="2" t="s">
        <v>226</v>
      </c>
      <c r="B14" s="2">
        <v>9</v>
      </c>
      <c r="C14"/>
      <c r="D14"/>
      <c r="E14"/>
      <c r="F14"/>
      <c r="G14" s="2" t="s">
        <v>3</v>
      </c>
      <c r="H14"/>
      <c r="I14"/>
      <c r="J14"/>
      <c r="K14"/>
      <c r="L14"/>
      <c r="M14"/>
      <c r="N14" s="2">
        <v>12345678</v>
      </c>
      <c r="O14" s="2" t="s">
        <v>3</v>
      </c>
      <c r="P14"/>
      <c r="Q14"/>
      <c r="R14"/>
      <c r="S14" s="2" t="s">
        <v>238</v>
      </c>
    </row>
    <row r="15" spans="1:19" x14ac:dyDescent="0.25">
      <c r="A15" s="2" t="s">
        <v>226</v>
      </c>
      <c r="B15" s="2">
        <v>10</v>
      </c>
      <c r="C15"/>
      <c r="D15"/>
      <c r="E15"/>
      <c r="F15"/>
      <c r="G15" s="2" t="s">
        <v>3</v>
      </c>
      <c r="H15"/>
      <c r="I15"/>
      <c r="J15"/>
      <c r="K15"/>
      <c r="L15"/>
      <c r="M15"/>
      <c r="N15" s="13">
        <v>12345678901</v>
      </c>
      <c r="O15" s="2" t="s">
        <v>3</v>
      </c>
      <c r="P15"/>
      <c r="Q15"/>
      <c r="R15"/>
      <c r="S15" s="2" t="s">
        <v>238</v>
      </c>
    </row>
    <row r="16" spans="1:19" x14ac:dyDescent="0.25">
      <c r="A16" s="2" t="s">
        <v>226</v>
      </c>
      <c r="B16" s="2">
        <v>11</v>
      </c>
      <c r="C16"/>
      <c r="D16"/>
      <c r="E16"/>
      <c r="F16"/>
      <c r="G16" s="2" t="s">
        <v>3</v>
      </c>
      <c r="H16"/>
      <c r="I16"/>
      <c r="J16"/>
      <c r="K16"/>
      <c r="L16"/>
      <c r="M16"/>
      <c r="N16" s="13" t="s">
        <v>177</v>
      </c>
      <c r="O16" s="2" t="s">
        <v>3</v>
      </c>
      <c r="P16"/>
      <c r="Q16"/>
      <c r="R16"/>
      <c r="S16" s="2" t="s">
        <v>238</v>
      </c>
    </row>
    <row r="17" spans="1:19" x14ac:dyDescent="0.25">
      <c r="A17"/>
      <c r="B17"/>
      <c r="C17"/>
      <c r="D17"/>
      <c r="E17"/>
      <c r="F17"/>
      <c r="G17"/>
      <c r="H17"/>
      <c r="I17"/>
      <c r="J17"/>
      <c r="K17"/>
      <c r="L17"/>
      <c r="M17"/>
      <c r="N17"/>
      <c r="O17"/>
      <c r="P17"/>
      <c r="Q17"/>
      <c r="R17"/>
      <c r="S17" s="2" t="s">
        <v>385</v>
      </c>
    </row>
    <row r="19" spans="1:19" x14ac:dyDescent="0.25">
      <c r="A19"/>
      <c r="B19"/>
      <c r="C19"/>
      <c r="D19"/>
      <c r="E19"/>
      <c r="F19"/>
      <c r="G19"/>
      <c r="H19"/>
      <c r="I19"/>
      <c r="J19"/>
      <c r="K19"/>
      <c r="L19"/>
      <c r="M19"/>
      <c r="N19"/>
      <c r="O19"/>
      <c r="P19"/>
      <c r="Q19"/>
      <c r="R19"/>
      <c r="S19" s="2" t="s">
        <v>234</v>
      </c>
    </row>
    <row r="20" spans="1:19" x14ac:dyDescent="0.25">
      <c r="A20"/>
      <c r="B20"/>
      <c r="C20"/>
      <c r="D20"/>
      <c r="E20"/>
      <c r="F20"/>
      <c r="G20"/>
      <c r="H20"/>
      <c r="I20"/>
      <c r="J20"/>
      <c r="K20"/>
      <c r="L20"/>
      <c r="M20"/>
      <c r="N20"/>
      <c r="O20"/>
      <c r="P20"/>
      <c r="Q20"/>
      <c r="R20"/>
      <c r="S20" s="2" t="s">
        <v>235</v>
      </c>
    </row>
    <row r="21" spans="1:19" x14ac:dyDescent="0.25">
      <c r="A21"/>
      <c r="B21"/>
      <c r="C21"/>
      <c r="D21"/>
      <c r="E21"/>
      <c r="F21"/>
      <c r="G21"/>
      <c r="H21"/>
      <c r="I21"/>
      <c r="J21"/>
      <c r="K21"/>
      <c r="L21"/>
      <c r="M21"/>
      <c r="N21"/>
      <c r="O21"/>
      <c r="P21"/>
      <c r="Q21"/>
      <c r="R21"/>
      <c r="S21" s="2" t="s">
        <v>236</v>
      </c>
    </row>
    <row r="22" spans="1:19" x14ac:dyDescent="0.25">
      <c r="A22"/>
      <c r="B22"/>
      <c r="C22"/>
      <c r="D22"/>
      <c r="E22"/>
      <c r="F22"/>
      <c r="G22"/>
      <c r="H22"/>
      <c r="I22"/>
      <c r="J22"/>
      <c r="K22"/>
      <c r="L22"/>
      <c r="M22"/>
      <c r="N22"/>
      <c r="O22"/>
      <c r="P22"/>
      <c r="Q22"/>
      <c r="R22"/>
      <c r="S22" s="2" t="s">
        <v>237</v>
      </c>
    </row>
    <row r="23" spans="1:19" x14ac:dyDescent="0.25">
      <c r="A23"/>
      <c r="B23"/>
      <c r="C23"/>
      <c r="D23"/>
      <c r="E23"/>
      <c r="F23"/>
      <c r="G23"/>
      <c r="H23"/>
      <c r="I23"/>
      <c r="J23"/>
      <c r="K23"/>
      <c r="L23"/>
      <c r="M23"/>
      <c r="N23"/>
      <c r="O23"/>
      <c r="P23"/>
      <c r="Q23"/>
      <c r="R23"/>
      <c r="S23" s="2" t="s">
        <v>238</v>
      </c>
    </row>
    <row r="24" spans="1:19" x14ac:dyDescent="0.25">
      <c r="A24"/>
      <c r="B24"/>
      <c r="C24"/>
      <c r="D24"/>
      <c r="E24"/>
      <c r="F24"/>
      <c r="G24"/>
      <c r="H24"/>
      <c r="I24"/>
      <c r="J24"/>
      <c r="K24"/>
      <c r="L24"/>
      <c r="M24"/>
      <c r="N24"/>
      <c r="O24"/>
      <c r="P24"/>
      <c r="Q24"/>
      <c r="R24"/>
      <c r="S24" s="2" t="s">
        <v>238</v>
      </c>
    </row>
    <row r="25" spans="1:19" x14ac:dyDescent="0.25">
      <c r="A25"/>
      <c r="B25"/>
      <c r="C25"/>
      <c r="D25"/>
      <c r="E25"/>
      <c r="F25"/>
      <c r="G25"/>
      <c r="H25"/>
      <c r="I25"/>
      <c r="J25"/>
      <c r="K25"/>
      <c r="L25"/>
      <c r="M25"/>
      <c r="N25"/>
      <c r="O25"/>
      <c r="P25"/>
      <c r="Q25"/>
      <c r="R25"/>
      <c r="S25" s="2" t="s">
        <v>238</v>
      </c>
    </row>
    <row r="26" spans="1:19" x14ac:dyDescent="0.25">
      <c r="A26"/>
      <c r="B26"/>
      <c r="C26"/>
      <c r="D26"/>
      <c r="E26"/>
      <c r="F26"/>
      <c r="G26"/>
      <c r="H26"/>
      <c r="I26"/>
      <c r="J26"/>
      <c r="K26"/>
      <c r="L26"/>
      <c r="M26"/>
      <c r="N26"/>
      <c r="O26"/>
      <c r="P26"/>
      <c r="Q26"/>
      <c r="R26"/>
      <c r="S26" s="2" t="s">
        <v>238</v>
      </c>
    </row>
    <row r="29" spans="1:19" x14ac:dyDescent="0.25">
      <c r="A29"/>
      <c r="B29"/>
      <c r="C29"/>
      <c r="D29"/>
      <c r="E29"/>
      <c r="F29"/>
      <c r="G29"/>
      <c r="H29"/>
      <c r="I29"/>
      <c r="J29"/>
      <c r="K29"/>
      <c r="L29"/>
      <c r="M29"/>
      <c r="N29"/>
      <c r="O29"/>
      <c r="P29"/>
      <c r="Q29"/>
      <c r="R29"/>
      <c r="S29" s="2" t="s">
        <v>318</v>
      </c>
    </row>
    <row r="30" spans="1:19" x14ac:dyDescent="0.25">
      <c r="A30"/>
      <c r="B30"/>
      <c r="C30"/>
      <c r="D30"/>
      <c r="E30"/>
      <c r="F30"/>
      <c r="G30"/>
      <c r="H30"/>
      <c r="I30"/>
      <c r="J30"/>
      <c r="K30"/>
      <c r="L30"/>
      <c r="M30"/>
      <c r="N30"/>
      <c r="O30"/>
      <c r="P30"/>
      <c r="Q30"/>
      <c r="R30"/>
      <c r="S30" s="2" t="s">
        <v>319</v>
      </c>
    </row>
    <row r="31" spans="1:19" x14ac:dyDescent="0.25">
      <c r="A31"/>
      <c r="B31"/>
      <c r="C31"/>
      <c r="D31"/>
      <c r="E31"/>
      <c r="F31"/>
      <c r="G31"/>
      <c r="H31"/>
      <c r="I31"/>
      <c r="J31"/>
      <c r="K31"/>
      <c r="L31"/>
      <c r="M31"/>
      <c r="N31"/>
      <c r="O31"/>
      <c r="P31"/>
      <c r="Q31"/>
      <c r="R31"/>
      <c r="S31" s="2" t="s">
        <v>320</v>
      </c>
    </row>
    <row r="32" spans="1:19" x14ac:dyDescent="0.25">
      <c r="A32"/>
      <c r="B32"/>
      <c r="C32"/>
      <c r="D32"/>
      <c r="E32"/>
      <c r="F32"/>
      <c r="G32"/>
      <c r="H32"/>
      <c r="I32"/>
      <c r="J32"/>
      <c r="K32"/>
      <c r="L32"/>
      <c r="M32"/>
      <c r="N32"/>
      <c r="O32"/>
      <c r="P32"/>
      <c r="Q32"/>
      <c r="R32"/>
      <c r="S32" s="2" t="s">
        <v>237</v>
      </c>
    </row>
    <row r="33" spans="1:19" x14ac:dyDescent="0.25">
      <c r="A33"/>
      <c r="B33"/>
      <c r="C33"/>
      <c r="D33"/>
      <c r="E33"/>
      <c r="F33"/>
      <c r="G33"/>
      <c r="H33"/>
      <c r="I33"/>
      <c r="J33"/>
      <c r="K33"/>
      <c r="L33"/>
      <c r="M33"/>
      <c r="N33"/>
      <c r="O33"/>
      <c r="P33"/>
      <c r="Q33"/>
      <c r="R33"/>
      <c r="S33" s="2" t="s">
        <v>238</v>
      </c>
    </row>
    <row r="34" spans="1:19" x14ac:dyDescent="0.25">
      <c r="A34"/>
      <c r="B34"/>
      <c r="C34"/>
      <c r="D34"/>
      <c r="E34"/>
      <c r="F34"/>
      <c r="G34"/>
      <c r="H34"/>
      <c r="I34"/>
      <c r="J34"/>
      <c r="K34"/>
      <c r="L34"/>
      <c r="M34"/>
      <c r="N34"/>
      <c r="O34"/>
      <c r="P34"/>
      <c r="Q34"/>
      <c r="R34"/>
      <c r="S34" s="2" t="s">
        <v>238</v>
      </c>
    </row>
    <row r="35" spans="1:19" x14ac:dyDescent="0.25">
      <c r="A35"/>
      <c r="B35"/>
      <c r="C35"/>
      <c r="D35"/>
      <c r="E35"/>
      <c r="F35"/>
      <c r="G35"/>
      <c r="H35"/>
      <c r="I35"/>
      <c r="J35"/>
      <c r="K35"/>
      <c r="L35"/>
      <c r="M35"/>
      <c r="N35"/>
      <c r="O35"/>
      <c r="P35"/>
      <c r="Q35"/>
      <c r="R35"/>
      <c r="S35" s="2" t="s">
        <v>238</v>
      </c>
    </row>
    <row r="36" spans="1:19" x14ac:dyDescent="0.25">
      <c r="A36"/>
      <c r="B36"/>
      <c r="C36"/>
      <c r="D36"/>
      <c r="E36"/>
      <c r="F36"/>
      <c r="G36"/>
      <c r="H36"/>
      <c r="I36"/>
      <c r="J36"/>
      <c r="K36"/>
      <c r="L36"/>
      <c r="M36"/>
      <c r="N36"/>
      <c r="O36"/>
      <c r="P36"/>
      <c r="Q36"/>
      <c r="R36"/>
      <c r="S36" s="2" t="s">
        <v>238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L27"/>
  <sheetViews>
    <sheetView zoomScale="85" zoomScaleNormal="85" workbookViewId="0">
      <pane xSplit="2" ySplit="1" topLeftCell="AJ5" activePane="bottomRight" state="frozen"/>
      <selection pane="topRight" activeCell="C1" sqref="C1"/>
      <selection pane="bottomLeft" activeCell="A2" sqref="A2"/>
      <selection pane="bottomRight" activeCell="AL17" sqref="AL17"/>
    </sheetView>
  </sheetViews>
  <sheetFormatPr defaultRowHeight="15" x14ac:dyDescent="0.25"/>
  <cols>
    <col min="1" max="1" width="7.140625" style="1" bestFit="1" customWidth="1" collapsed="1"/>
    <col min="2" max="2" width="8.7109375" style="1" bestFit="1" customWidth="1" collapsed="1"/>
    <col min="3" max="3" width="10.28515625" style="1" customWidth="1" collapsed="1"/>
    <col min="4" max="4" width="15.5703125" style="1" bestFit="1" customWidth="1" collapsed="1"/>
    <col min="5" max="5" width="10.28515625" style="1" bestFit="1" customWidth="1" collapsed="1"/>
    <col min="6" max="6" width="16" style="1" bestFit="1" customWidth="1" collapsed="1"/>
    <col min="7" max="7" width="10.42578125" style="1" customWidth="1" collapsed="1"/>
    <col min="8" max="8" width="25.140625" style="1" customWidth="1" collapsed="1"/>
    <col min="9" max="9" width="18.7109375" style="1" bestFit="1" customWidth="1" collapsed="1"/>
    <col min="10" max="12" width="18.7109375" style="1" customWidth="1" collapsed="1"/>
    <col min="13" max="13" width="24.5703125" style="1" bestFit="1" customWidth="1" collapsed="1"/>
    <col min="14" max="14" width="15.85546875" style="1" bestFit="1" customWidth="1" collapsed="1"/>
    <col min="15" max="15" width="15" style="1" bestFit="1" customWidth="1" collapsed="1"/>
    <col min="16" max="16" width="14.5703125" style="1" bestFit="1" customWidth="1" collapsed="1"/>
    <col min="17" max="17" width="30" style="1" customWidth="1" collapsed="1"/>
    <col min="18" max="18" width="23.7109375" style="1" bestFit="1" customWidth="1" collapsed="1"/>
    <col min="19" max="19" width="24.140625" style="1" bestFit="1" customWidth="1" collapsed="1"/>
    <col min="20" max="20" width="9.5703125" style="1" bestFit="1" customWidth="1" collapsed="1"/>
    <col min="21" max="22" width="9.5703125" style="1" customWidth="1" collapsed="1"/>
    <col min="23" max="23" width="22.7109375" style="1" customWidth="1" collapsed="1"/>
    <col min="24" max="24" width="21" style="1" bestFit="1" customWidth="1" collapsed="1"/>
    <col min="25" max="25" width="16.140625" style="1" customWidth="1" collapsed="1"/>
    <col min="26" max="26" width="14.28515625" style="1" bestFit="1" customWidth="1" collapsed="1"/>
    <col min="27" max="29" width="14.5703125" style="1" bestFit="1" customWidth="1" collapsed="1"/>
    <col min="30" max="30" width="17.7109375" style="1" bestFit="1" customWidth="1" collapsed="1"/>
    <col min="31" max="31" width="16.140625" style="1" bestFit="1" customWidth="1" collapsed="1"/>
    <col min="32" max="36" width="16.140625" style="1" customWidth="1" collapsed="1"/>
    <col min="37" max="37" width="28.42578125" style="1" customWidth="1" collapsed="1"/>
    <col min="38" max="38" width="148.42578125" style="1" bestFit="1" customWidth="1" collapsed="1"/>
    <col min="39" max="16384" width="9.140625" style="1" collapsed="1"/>
  </cols>
  <sheetData>
    <row r="1" spans="1:38" x14ac:dyDescent="0.25">
      <c r="A1" s="4" t="s">
        <v>0</v>
      </c>
      <c r="B1" s="5" t="s">
        <v>20</v>
      </c>
      <c r="C1" s="5" t="s">
        <v>784</v>
      </c>
      <c r="D1" s="5" t="s">
        <v>48</v>
      </c>
      <c r="E1" s="5" t="s">
        <v>199</v>
      </c>
      <c r="F1" s="5" t="s">
        <v>718</v>
      </c>
      <c r="G1" s="5" t="s">
        <v>722</v>
      </c>
      <c r="H1" s="5" t="s">
        <v>721</v>
      </c>
      <c r="I1" s="5" t="s">
        <v>785</v>
      </c>
      <c r="J1" s="5" t="s">
        <v>786</v>
      </c>
      <c r="K1" s="5" t="s">
        <v>787</v>
      </c>
      <c r="L1" s="5" t="s">
        <v>788</v>
      </c>
      <c r="M1" s="5" t="s">
        <v>723</v>
      </c>
      <c r="N1" s="5" t="s">
        <v>725</v>
      </c>
      <c r="O1" s="5" t="s">
        <v>724</v>
      </c>
      <c r="P1" s="5" t="s">
        <v>727</v>
      </c>
      <c r="Q1" s="5" t="s">
        <v>720</v>
      </c>
      <c r="R1" s="5" t="s">
        <v>719</v>
      </c>
      <c r="S1" s="5" t="s">
        <v>753</v>
      </c>
      <c r="T1" s="5" t="s">
        <v>758</v>
      </c>
      <c r="U1" s="5" t="s">
        <v>862</v>
      </c>
      <c r="V1" s="5" t="s">
        <v>863</v>
      </c>
      <c r="W1" s="5" t="s">
        <v>760</v>
      </c>
      <c r="X1" s="5" t="s">
        <v>762</v>
      </c>
      <c r="Y1" s="5" t="s">
        <v>772</v>
      </c>
      <c r="Z1" s="5" t="s">
        <v>763</v>
      </c>
      <c r="AA1" s="5" t="s">
        <v>767</v>
      </c>
      <c r="AB1" s="5" t="s">
        <v>768</v>
      </c>
      <c r="AC1" s="5" t="s">
        <v>769</v>
      </c>
      <c r="AD1" s="5" t="s">
        <v>770</v>
      </c>
      <c r="AE1" s="5" t="s">
        <v>759</v>
      </c>
      <c r="AF1" s="5" t="s">
        <v>765</v>
      </c>
      <c r="AG1" s="5" t="s">
        <v>848</v>
      </c>
      <c r="AH1" s="5" t="s">
        <v>774</v>
      </c>
      <c r="AI1" s="5" t="s">
        <v>62</v>
      </c>
      <c r="AJ1" s="5" t="s">
        <v>877</v>
      </c>
      <c r="AK1" s="5" t="s">
        <v>761</v>
      </c>
      <c r="AL1" s="5" t="s">
        <v>156</v>
      </c>
    </row>
    <row r="2" spans="1:38" x14ac:dyDescent="0.25">
      <c r="A2" s="4" t="s">
        <v>735</v>
      </c>
      <c r="B2" s="6">
        <v>1</v>
      </c>
      <c r="C2" s="12" t="s">
        <v>777</v>
      </c>
      <c r="D2" s="12" t="s">
        <v>1178</v>
      </c>
      <c r="E2"/>
      <c r="F2"/>
      <c r="G2"/>
      <c r="H2"/>
      <c r="I2"/>
      <c r="J2"/>
      <c r="K2"/>
      <c r="L2"/>
      <c r="M2"/>
      <c r="N2"/>
      <c r="O2"/>
      <c r="P2"/>
      <c r="Q2"/>
      <c r="R2"/>
      <c r="S2"/>
      <c r="T2"/>
      <c r="U2"/>
      <c r="V2"/>
      <c r="W2"/>
      <c r="X2"/>
      <c r="Y2"/>
      <c r="Z2"/>
      <c r="AA2"/>
      <c r="AB2"/>
      <c r="AC2"/>
      <c r="AD2"/>
      <c r="AE2"/>
      <c r="AF2"/>
      <c r="AG2"/>
      <c r="AH2"/>
      <c r="AI2"/>
      <c r="AJ2"/>
      <c r="AK2"/>
      <c r="AL2"/>
    </row>
    <row r="3" spans="1:38" x14ac:dyDescent="0.25">
      <c r="A3" s="4" t="s">
        <v>849</v>
      </c>
      <c r="B3" s="6">
        <v>1</v>
      </c>
      <c r="C3" s="12" t="s">
        <v>777</v>
      </c>
      <c r="D3" s="12" t="s">
        <v>1179</v>
      </c>
      <c r="E3"/>
      <c r="F3"/>
      <c r="G3"/>
      <c r="H3"/>
      <c r="I3"/>
      <c r="J3"/>
      <c r="K3"/>
      <c r="L3"/>
      <c r="M3"/>
      <c r="N3"/>
      <c r="O3"/>
      <c r="P3"/>
      <c r="Q3"/>
      <c r="R3"/>
      <c r="S3"/>
      <c r="T3"/>
      <c r="U3"/>
      <c r="V3"/>
      <c r="W3"/>
      <c r="X3"/>
      <c r="Y3"/>
      <c r="Z3"/>
      <c r="AA3"/>
      <c r="AB3"/>
      <c r="AC3"/>
      <c r="AD3"/>
      <c r="AE3"/>
      <c r="AF3"/>
      <c r="AG3"/>
      <c r="AH3"/>
      <c r="AI3"/>
      <c r="AJ3"/>
      <c r="AK3"/>
      <c r="AL3"/>
    </row>
    <row r="4" spans="1:38" x14ac:dyDescent="0.25">
      <c r="A4" s="4" t="s">
        <v>864</v>
      </c>
      <c r="B4" s="6">
        <v>1</v>
      </c>
      <c r="C4" s="12" t="s">
        <v>777</v>
      </c>
      <c r="D4" s="12" t="s">
        <v>1180</v>
      </c>
      <c r="E4"/>
      <c r="F4"/>
      <c r="G4"/>
      <c r="H4"/>
      <c r="I4"/>
      <c r="J4"/>
      <c r="K4"/>
      <c r="L4"/>
      <c r="M4"/>
      <c r="N4"/>
      <c r="O4"/>
      <c r="P4"/>
      <c r="Q4"/>
      <c r="R4"/>
      <c r="S4"/>
      <c r="T4"/>
      <c r="U4"/>
      <c r="V4"/>
      <c r="W4"/>
      <c r="X4"/>
      <c r="Y4"/>
      <c r="Z4"/>
      <c r="AA4"/>
      <c r="AB4"/>
      <c r="AC4"/>
      <c r="AD4"/>
      <c r="AE4"/>
      <c r="AF4"/>
      <c r="AG4"/>
      <c r="AH4"/>
      <c r="AI4"/>
      <c r="AJ4"/>
      <c r="AK4"/>
      <c r="AL4"/>
    </row>
    <row r="5" spans="1:38" x14ac:dyDescent="0.25">
      <c r="A5" s="4" t="s">
        <v>868</v>
      </c>
      <c r="B5" s="6">
        <v>1</v>
      </c>
      <c r="C5" s="12" t="s">
        <v>777</v>
      </c>
      <c r="D5" s="12" t="s">
        <v>1181</v>
      </c>
      <c r="E5"/>
      <c r="F5"/>
      <c r="G5"/>
      <c r="H5"/>
      <c r="I5"/>
      <c r="J5"/>
      <c r="K5"/>
      <c r="L5"/>
      <c r="M5"/>
      <c r="N5"/>
      <c r="O5"/>
      <c r="P5"/>
      <c r="Q5"/>
      <c r="R5"/>
      <c r="S5"/>
      <c r="T5"/>
      <c r="U5"/>
      <c r="V5"/>
      <c r="W5"/>
      <c r="X5"/>
      <c r="Y5"/>
      <c r="Z5"/>
      <c r="AA5"/>
      <c r="AB5"/>
      <c r="AC5"/>
      <c r="AD5"/>
      <c r="AE5"/>
      <c r="AF5"/>
      <c r="AG5"/>
      <c r="AH5"/>
      <c r="AI5"/>
      <c r="AJ5"/>
      <c r="AK5"/>
      <c r="AL5"/>
    </row>
    <row r="6" spans="1:38" x14ac:dyDescent="0.25">
      <c r="A6" s="4" t="s">
        <v>869</v>
      </c>
      <c r="B6" s="6">
        <v>1</v>
      </c>
      <c r="C6" s="12" t="s">
        <v>777</v>
      </c>
      <c r="D6" s="12" t="s">
        <v>1182</v>
      </c>
      <c r="E6"/>
      <c r="F6"/>
      <c r="G6"/>
      <c r="H6"/>
      <c r="I6"/>
      <c r="J6"/>
      <c r="K6"/>
      <c r="L6"/>
      <c r="M6"/>
      <c r="N6"/>
      <c r="O6"/>
      <c r="P6"/>
      <c r="Q6"/>
      <c r="R6"/>
      <c r="S6"/>
      <c r="T6"/>
      <c r="U6"/>
      <c r="V6"/>
      <c r="W6"/>
      <c r="X6"/>
      <c r="Y6"/>
      <c r="Z6"/>
      <c r="AA6"/>
      <c r="AB6"/>
      <c r="AC6"/>
      <c r="AD6"/>
      <c r="AE6"/>
      <c r="AF6"/>
      <c r="AG6"/>
      <c r="AH6"/>
      <c r="AI6"/>
      <c r="AJ6"/>
      <c r="AK6"/>
      <c r="AL6"/>
    </row>
    <row r="7" spans="1:38" x14ac:dyDescent="0.25">
      <c r="A7" s="4" t="s">
        <v>879</v>
      </c>
      <c r="B7" s="6">
        <v>1</v>
      </c>
      <c r="C7" s="12" t="s">
        <v>777</v>
      </c>
      <c r="D7" t="s">
        <v>886</v>
      </c>
      <c r="E7"/>
      <c r="F7"/>
      <c r="G7"/>
      <c r="H7"/>
      <c r="I7"/>
      <c r="J7"/>
      <c r="K7"/>
      <c r="L7"/>
      <c r="M7"/>
      <c r="N7"/>
      <c r="O7"/>
      <c r="P7"/>
      <c r="Q7"/>
      <c r="R7"/>
      <c r="S7"/>
      <c r="T7"/>
      <c r="U7"/>
      <c r="V7"/>
      <c r="W7"/>
      <c r="X7"/>
      <c r="Y7"/>
      <c r="Z7"/>
      <c r="AA7"/>
      <c r="AB7"/>
      <c r="AC7"/>
      <c r="AD7"/>
      <c r="AE7"/>
      <c r="AF7"/>
      <c r="AG7"/>
      <c r="AH7"/>
      <c r="AI7"/>
      <c r="AJ7"/>
      <c r="AK7"/>
      <c r="AL7"/>
    </row>
    <row r="8" spans="1:38" x14ac:dyDescent="0.25">
      <c r="A8" s="2" t="s">
        <v>736</v>
      </c>
      <c r="B8" s="6">
        <v>1</v>
      </c>
      <c r="C8"/>
      <c r="D8"/>
      <c r="E8" s="2" t="s">
        <v>3</v>
      </c>
      <c r="F8" s="13" t="s">
        <v>3</v>
      </c>
      <c r="G8"/>
      <c r="H8" s="13" t="s">
        <v>740</v>
      </c>
      <c r="I8"/>
      <c r="J8"/>
      <c r="K8"/>
      <c r="L8"/>
      <c r="M8"/>
      <c r="N8"/>
      <c r="O8"/>
      <c r="P8"/>
      <c r="Q8" t="str">
        <f>D7</f>
        <v>147799356005305</v>
      </c>
      <c r="R8" s="2" t="s">
        <v>3</v>
      </c>
      <c r="S8"/>
      <c r="T8"/>
      <c r="U8"/>
      <c r="V8"/>
      <c r="W8"/>
      <c r="X8"/>
      <c r="Y8"/>
      <c r="Z8"/>
      <c r="AA8"/>
      <c r="AB8"/>
      <c r="AC8"/>
      <c r="AD8"/>
      <c r="AE8"/>
      <c r="AF8"/>
      <c r="AG8"/>
      <c r="AH8"/>
      <c r="AI8"/>
      <c r="AJ8"/>
      <c r="AK8"/>
      <c r="AL8" s="2" t="str">
        <f>("PRODUCERCODERESULTS"&amp;":::"&amp;D7)</f>
        <v>PRODUCERCODERESULTS:::147799356005305</v>
      </c>
    </row>
    <row r="9" spans="1:38" x14ac:dyDescent="0.25">
      <c r="A9" s="2" t="s">
        <v>741</v>
      </c>
      <c r="B9" s="6">
        <v>1</v>
      </c>
      <c r="C9"/>
      <c r="D9"/>
      <c r="E9" s="2" t="s">
        <v>3</v>
      </c>
      <c r="F9" s="13" t="s">
        <v>3</v>
      </c>
      <c r="G9"/>
      <c r="H9"/>
      <c r="I9"/>
      <c r="J9"/>
      <c r="K9"/>
      <c r="L9"/>
      <c r="M9" s="13" t="s">
        <v>3</v>
      </c>
      <c r="N9"/>
      <c r="O9" s="13" t="s">
        <v>3</v>
      </c>
      <c r="P9"/>
      <c r="Q9"/>
      <c r="R9"/>
      <c r="S9"/>
      <c r="T9"/>
      <c r="U9"/>
      <c r="V9"/>
      <c r="W9"/>
      <c r="X9"/>
      <c r="Y9"/>
      <c r="Z9"/>
      <c r="AA9"/>
      <c r="AB9"/>
      <c r="AC9"/>
      <c r="AD9"/>
      <c r="AE9"/>
      <c r="AF9"/>
      <c r="AG9"/>
      <c r="AH9"/>
      <c r="AI9"/>
      <c r="AJ9"/>
      <c r="AK9"/>
      <c r="AL9" s="2" t="s">
        <v>853</v>
      </c>
    </row>
    <row r="10" spans="1:38" x14ac:dyDescent="0.25">
      <c r="A10" s="2" t="s">
        <v>741</v>
      </c>
      <c r="B10" s="6">
        <v>2</v>
      </c>
      <c r="C10"/>
      <c r="D10"/>
      <c r="E10"/>
      <c r="F10"/>
      <c r="G10"/>
      <c r="H10"/>
      <c r="I10"/>
      <c r="J10"/>
      <c r="K10"/>
      <c r="L10"/>
      <c r="M10"/>
      <c r="N10" s="13" t="s">
        <v>726</v>
      </c>
      <c r="O10" s="13" t="s">
        <v>3</v>
      </c>
      <c r="P10" s="13" t="s">
        <v>3</v>
      </c>
      <c r="Q10" s="13" t="str">
        <f>D2</f>
        <v>147931455725711</v>
      </c>
      <c r="R10" s="2" t="s">
        <v>3</v>
      </c>
      <c r="S10"/>
      <c r="T10"/>
      <c r="U10"/>
      <c r="V10"/>
      <c r="W10"/>
      <c r="X10"/>
      <c r="Y10"/>
      <c r="Z10"/>
      <c r="AA10"/>
      <c r="AB10"/>
      <c r="AC10"/>
      <c r="AD10"/>
      <c r="AE10"/>
      <c r="AF10"/>
      <c r="AG10"/>
      <c r="AH10"/>
      <c r="AI10"/>
      <c r="AJ10"/>
      <c r="AK10"/>
      <c r="AL10" s="2" t="str">
        <f>("ASSIGNTOACTIVITYRESULTS"&amp;":::"&amp;D2)</f>
        <v>ASSIGNTOACTIVITYRESULTS:::147931455725711</v>
      </c>
    </row>
    <row r="11" spans="1:38" x14ac:dyDescent="0.25">
      <c r="A11" s="2" t="s">
        <v>742</v>
      </c>
      <c r="B11" s="2">
        <v>1</v>
      </c>
      <c r="C11"/>
      <c r="D11"/>
      <c r="E11" s="2" t="s">
        <v>3</v>
      </c>
      <c r="F11" s="13" t="s">
        <v>3</v>
      </c>
      <c r="G11"/>
      <c r="H11"/>
      <c r="I11"/>
      <c r="J11"/>
      <c r="K11"/>
      <c r="L11"/>
      <c r="M11"/>
      <c r="N11"/>
      <c r="O11"/>
      <c r="P11"/>
      <c r="Q11" t="str">
        <f>D2</f>
        <v>147931455725711</v>
      </c>
      <c r="R11" t="s">
        <v>3</v>
      </c>
      <c r="S11"/>
      <c r="T11"/>
      <c r="U11"/>
      <c r="V11"/>
      <c r="W11"/>
      <c r="X11"/>
      <c r="Y11"/>
      <c r="Z11"/>
      <c r="AA11"/>
      <c r="AB11"/>
      <c r="AC11"/>
      <c r="AD11"/>
      <c r="AE11"/>
      <c r="AF11"/>
      <c r="AG11"/>
      <c r="AH11"/>
      <c r="AI11"/>
      <c r="AJ11" s="2" t="s">
        <v>3</v>
      </c>
      <c r="AK11" s="2" t="s">
        <v>3</v>
      </c>
      <c r="AL11" s="2" t="s">
        <v>755</v>
      </c>
    </row>
    <row r="12" spans="1:38" ht="17.25" customHeight="1" x14ac:dyDescent="0.25">
      <c r="A12" s="2" t="s">
        <v>743</v>
      </c>
      <c r="B12" s="2">
        <v>1</v>
      </c>
      <c r="C12"/>
      <c r="D12"/>
      <c r="E12" s="2" t="s">
        <v>3</v>
      </c>
      <c r="F12" s="13" t="s">
        <v>3</v>
      </c>
      <c r="G12"/>
      <c r="H12"/>
      <c r="I12"/>
      <c r="J12"/>
      <c r="K12"/>
      <c r="L12"/>
      <c r="M12"/>
      <c r="N12"/>
      <c r="O12"/>
      <c r="P12"/>
      <c r="Q12" s="13" t="str">
        <f>D2</f>
        <v>147931455725711</v>
      </c>
      <c r="R12" s="2" t="s">
        <v>3</v>
      </c>
      <c r="S12" s="2" t="s">
        <v>3</v>
      </c>
      <c r="T12" s="2" t="s">
        <v>3</v>
      </c>
      <c r="U12"/>
      <c r="V12"/>
      <c r="W12"/>
      <c r="X12" s="2" t="s">
        <v>3</v>
      </c>
      <c r="Y12"/>
      <c r="Z12"/>
      <c r="AA12" s="33" t="s">
        <v>764</v>
      </c>
      <c r="AB12" s="33" t="s">
        <v>764</v>
      </c>
      <c r="AC12" s="33" t="s">
        <v>764</v>
      </c>
      <c r="AD12"/>
      <c r="AE12"/>
      <c r="AF12" s="2" t="s">
        <v>3</v>
      </c>
      <c r="AG12"/>
      <c r="AH12"/>
      <c r="AI12"/>
      <c r="AJ12"/>
      <c r="AK12"/>
      <c r="AL12" s="2" t="s">
        <v>771</v>
      </c>
    </row>
    <row r="13" spans="1:38" x14ac:dyDescent="0.25">
      <c r="A13" s="2" t="s">
        <v>743</v>
      </c>
      <c r="B13" s="2">
        <v>2</v>
      </c>
      <c r="C13"/>
      <c r="D13"/>
      <c r="E13"/>
      <c r="F13"/>
      <c r="G13"/>
      <c r="H13"/>
      <c r="I13"/>
      <c r="J13"/>
      <c r="K13"/>
      <c r="L13"/>
      <c r="M13"/>
      <c r="N13"/>
      <c r="O13"/>
      <c r="P13"/>
      <c r="Q13"/>
      <c r="R13"/>
      <c r="S13"/>
      <c r="T13"/>
      <c r="U13"/>
      <c r="V13"/>
      <c r="W13"/>
      <c r="X13"/>
      <c r="Y13" s="2" t="s">
        <v>3</v>
      </c>
      <c r="Z13" s="2" t="s">
        <v>766</v>
      </c>
      <c r="AA13"/>
      <c r="AB13"/>
      <c r="AC13"/>
      <c r="AD13" s="33" t="s">
        <v>764</v>
      </c>
      <c r="AE13"/>
      <c r="AF13" s="2" t="s">
        <v>3</v>
      </c>
      <c r="AG13"/>
      <c r="AH13"/>
      <c r="AI13"/>
      <c r="AJ13"/>
      <c r="AK13"/>
      <c r="AL13" s="2" t="s">
        <v>771</v>
      </c>
    </row>
    <row r="14" spans="1:38" x14ac:dyDescent="0.25">
      <c r="A14" s="2" t="s">
        <v>743</v>
      </c>
      <c r="B14" s="2">
        <v>3</v>
      </c>
      <c r="C14"/>
      <c r="D14"/>
      <c r="E14"/>
      <c r="F14"/>
      <c r="G14"/>
      <c r="H14"/>
      <c r="I14"/>
      <c r="J14"/>
      <c r="K14"/>
      <c r="L14"/>
      <c r="M14"/>
      <c r="N14"/>
      <c r="O14"/>
      <c r="P14"/>
      <c r="Q14"/>
      <c r="R14"/>
      <c r="S14"/>
      <c r="T14"/>
      <c r="U14"/>
      <c r="V14"/>
      <c r="W14"/>
      <c r="X14"/>
      <c r="Y14"/>
      <c r="Z14"/>
      <c r="AA14"/>
      <c r="AB14"/>
      <c r="AC14"/>
      <c r="AD14"/>
      <c r="AE14"/>
      <c r="AF14"/>
      <c r="AG14"/>
      <c r="AH14" s="2" t="s">
        <v>3</v>
      </c>
      <c r="AI14"/>
      <c r="AJ14"/>
      <c r="AK14"/>
      <c r="AL14" s="2" t="s">
        <v>775</v>
      </c>
    </row>
    <row r="15" spans="1:38" x14ac:dyDescent="0.25">
      <c r="A15" s="2" t="s">
        <v>743</v>
      </c>
      <c r="B15" s="2">
        <v>4</v>
      </c>
      <c r="C15"/>
      <c r="D15"/>
      <c r="E15"/>
      <c r="F15"/>
      <c r="G15"/>
      <c r="H15"/>
      <c r="I15"/>
      <c r="J15"/>
      <c r="K15"/>
      <c r="L15"/>
      <c r="M15"/>
      <c r="N15"/>
      <c r="O15"/>
      <c r="P15"/>
      <c r="Q15"/>
      <c r="R15"/>
      <c r="S15"/>
      <c r="T15"/>
      <c r="U15"/>
      <c r="V15"/>
      <c r="W15"/>
      <c r="X15"/>
      <c r="Y15"/>
      <c r="Z15"/>
      <c r="AA15"/>
      <c r="AB15"/>
      <c r="AC15"/>
      <c r="AD15"/>
      <c r="AE15"/>
      <c r="AF15"/>
      <c r="AG15"/>
      <c r="AH15"/>
      <c r="AI15" s="2" t="s">
        <v>3</v>
      </c>
      <c r="AJ15"/>
      <c r="AK15"/>
      <c r="AL15"/>
    </row>
    <row r="16" spans="1:38" x14ac:dyDescent="0.25">
      <c r="A16" s="2" t="s">
        <v>744</v>
      </c>
      <c r="B16" s="2">
        <v>1</v>
      </c>
      <c r="C16"/>
      <c r="D16"/>
      <c r="E16" s="2" t="s">
        <v>3</v>
      </c>
      <c r="F16" s="13" t="s">
        <v>3</v>
      </c>
      <c r="G16"/>
      <c r="H16"/>
      <c r="I16" s="12" t="s">
        <v>3</v>
      </c>
      <c r="J16" s="12" t="s">
        <v>781</v>
      </c>
      <c r="K16" s="12" t="s">
        <v>3</v>
      </c>
      <c r="L16" s="12" t="s">
        <v>3</v>
      </c>
      <c r="M16"/>
      <c r="N16"/>
      <c r="O16"/>
      <c r="P16"/>
      <c r="Q16" s="12" t="str">
        <f>D3</f>
        <v>147931466391747</v>
      </c>
      <c r="R16" s="12" t="s">
        <v>3</v>
      </c>
      <c r="S16"/>
      <c r="T16"/>
      <c r="U16"/>
      <c r="V16"/>
      <c r="W16"/>
      <c r="X16"/>
      <c r="Y16"/>
      <c r="Z16"/>
      <c r="AA16"/>
      <c r="AB16"/>
      <c r="AC16"/>
      <c r="AD16"/>
      <c r="AE16"/>
      <c r="AF16"/>
      <c r="AG16"/>
      <c r="AH16"/>
      <c r="AI16"/>
      <c r="AJ16"/>
      <c r="AK16"/>
      <c r="AL16" s="12" t="str">
        <f>("ASSIGNTOQUEUEFIELD"&amp;":::"&amp;D3&amp;":::Reinsurance - Reinsurance")</f>
        <v>ASSIGNTOQUEUEFIELD:::147931466391747:::Reinsurance - Reinsurance</v>
      </c>
    </row>
    <row r="17" spans="1:38" x14ac:dyDescent="0.25">
      <c r="A17" s="2" t="s">
        <v>744</v>
      </c>
      <c r="B17" s="12">
        <v>2</v>
      </c>
      <c r="C17"/>
      <c r="D17"/>
      <c r="E17"/>
      <c r="F17"/>
      <c r="G17"/>
      <c r="H17"/>
      <c r="I17"/>
      <c r="J17"/>
      <c r="K17"/>
      <c r="L17"/>
      <c r="M17"/>
      <c r="N17"/>
      <c r="O17"/>
      <c r="P17"/>
      <c r="Q17"/>
      <c r="R17"/>
      <c r="S17" s="12" t="s">
        <v>3</v>
      </c>
      <c r="T17" s="12" t="s">
        <v>3</v>
      </c>
      <c r="U17"/>
      <c r="V17"/>
      <c r="W17"/>
      <c r="X17" s="12" t="s">
        <v>3</v>
      </c>
      <c r="Y17"/>
      <c r="Z17"/>
      <c r="AA17" s="12" t="s">
        <v>726</v>
      </c>
      <c r="AB17"/>
      <c r="AC17"/>
      <c r="AD17"/>
      <c r="AE17"/>
      <c r="AF17" s="12" t="s">
        <v>3</v>
      </c>
      <c r="AG17" s="12" t="s">
        <v>3</v>
      </c>
      <c r="AH17"/>
      <c r="AI17"/>
      <c r="AJ17"/>
      <c r="AK17"/>
      <c r="AL17"/>
    </row>
    <row r="18" spans="1:38" x14ac:dyDescent="0.25">
      <c r="A18" s="2" t="s">
        <v>744</v>
      </c>
      <c r="B18" s="12">
        <v>3</v>
      </c>
      <c r="C18"/>
      <c r="D18"/>
      <c r="E18"/>
      <c r="F18"/>
      <c r="G18" s="12" t="s">
        <v>3</v>
      </c>
      <c r="H18"/>
      <c r="I18"/>
      <c r="J18"/>
      <c r="K18"/>
      <c r="L18"/>
      <c r="M18"/>
      <c r="N18"/>
      <c r="O18"/>
      <c r="P18"/>
      <c r="Q18" s="12" t="str">
        <f>D3</f>
        <v>147931466391747</v>
      </c>
      <c r="R18" s="12" t="s">
        <v>3</v>
      </c>
      <c r="S18"/>
      <c r="T18"/>
      <c r="U18"/>
      <c r="V18"/>
      <c r="W18"/>
      <c r="X18"/>
      <c r="Y18"/>
      <c r="Z18"/>
      <c r="AA18"/>
      <c r="AB18"/>
      <c r="AC18"/>
      <c r="AD18"/>
      <c r="AE18"/>
      <c r="AF18"/>
      <c r="AG18"/>
      <c r="AH18"/>
      <c r="AI18"/>
      <c r="AJ18"/>
      <c r="AK18"/>
      <c r="AL18" s="2" t="s">
        <v>851</v>
      </c>
    </row>
    <row r="19" spans="1:38" x14ac:dyDescent="0.25">
      <c r="A19" s="2" t="s">
        <v>744</v>
      </c>
      <c r="B19" s="12">
        <v>4</v>
      </c>
      <c r="C19"/>
      <c r="D19"/>
      <c r="E19"/>
      <c r="F19"/>
      <c r="G19"/>
      <c r="H19"/>
      <c r="I19"/>
      <c r="J19"/>
      <c r="K19"/>
      <c r="L19"/>
      <c r="M19"/>
      <c r="N19"/>
      <c r="O19"/>
      <c r="P19"/>
      <c r="Q19"/>
      <c r="R19"/>
      <c r="S19" s="12" t="s">
        <v>3</v>
      </c>
      <c r="T19"/>
      <c r="U19" s="12" t="s">
        <v>3</v>
      </c>
      <c r="V19"/>
      <c r="W19"/>
      <c r="X19"/>
      <c r="Y19"/>
      <c r="Z19"/>
      <c r="AA19"/>
      <c r="AB19"/>
      <c r="AC19"/>
      <c r="AD19"/>
      <c r="AE19"/>
      <c r="AF19"/>
      <c r="AG19"/>
      <c r="AH19"/>
      <c r="AI19"/>
      <c r="AJ19"/>
      <c r="AK19"/>
      <c r="AL19" s="2" t="s">
        <v>757</v>
      </c>
    </row>
    <row r="20" spans="1:38" x14ac:dyDescent="0.25">
      <c r="A20" s="2" t="s">
        <v>745</v>
      </c>
      <c r="B20" s="12">
        <v>1</v>
      </c>
      <c r="C20"/>
      <c r="D20"/>
      <c r="E20" s="12" t="s">
        <v>3</v>
      </c>
      <c r="F20" s="13" t="s">
        <v>3</v>
      </c>
      <c r="G20"/>
      <c r="H20"/>
      <c r="I20"/>
      <c r="J20"/>
      <c r="K20"/>
      <c r="L20"/>
      <c r="M20" s="12" t="s">
        <v>3</v>
      </c>
      <c r="N20" s="12" t="s">
        <v>619</v>
      </c>
      <c r="O20" s="12" t="s">
        <v>3</v>
      </c>
      <c r="P20" s="12" t="s">
        <v>3</v>
      </c>
      <c r="Q20"/>
      <c r="R20"/>
      <c r="S20"/>
      <c r="T20"/>
      <c r="U20"/>
      <c r="V20"/>
      <c r="W20"/>
      <c r="X20"/>
      <c r="Y20"/>
      <c r="Z20"/>
      <c r="AA20"/>
      <c r="AB20"/>
      <c r="AC20"/>
      <c r="AD20"/>
      <c r="AE20"/>
      <c r="AF20"/>
      <c r="AG20"/>
      <c r="AH20"/>
      <c r="AI20"/>
      <c r="AJ20"/>
      <c r="AK20"/>
      <c r="AL20" s="2" t="s">
        <v>856</v>
      </c>
    </row>
    <row r="21" spans="1:38" x14ac:dyDescent="0.25">
      <c r="A21" s="2" t="s">
        <v>745</v>
      </c>
      <c r="B21" s="12">
        <v>2</v>
      </c>
      <c r="C21"/>
      <c r="D21"/>
      <c r="E21"/>
      <c r="F21"/>
      <c r="G21" s="12" t="s">
        <v>3</v>
      </c>
      <c r="H21"/>
      <c r="I21" s="12" t="s">
        <v>3</v>
      </c>
      <c r="J21" s="12" t="s">
        <v>781</v>
      </c>
      <c r="K21" s="12" t="s">
        <v>3</v>
      </c>
      <c r="L21" s="12" t="s">
        <v>3</v>
      </c>
      <c r="M21"/>
      <c r="N21"/>
      <c r="O21"/>
      <c r="P21"/>
      <c r="Q21"/>
      <c r="R21"/>
      <c r="S21"/>
      <c r="T21"/>
      <c r="U21"/>
      <c r="V21"/>
      <c r="W21"/>
      <c r="X21"/>
      <c r="Y21"/>
      <c r="Z21"/>
      <c r="AA21"/>
      <c r="AB21"/>
      <c r="AC21"/>
      <c r="AD21"/>
      <c r="AE21"/>
      <c r="AF21"/>
      <c r="AG21"/>
      <c r="AH21"/>
      <c r="AI21"/>
      <c r="AJ21"/>
      <c r="AK21"/>
      <c r="AL21" s="2" t="s">
        <v>857</v>
      </c>
    </row>
    <row r="22" spans="1:38" x14ac:dyDescent="0.25">
      <c r="A22" s="2" t="s">
        <v>745</v>
      </c>
      <c r="B22" s="12">
        <v>3</v>
      </c>
      <c r="C22"/>
      <c r="D22"/>
      <c r="E22"/>
      <c r="F22"/>
      <c r="G22" s="12" t="s">
        <v>3</v>
      </c>
      <c r="H22"/>
      <c r="I22" s="12" t="s">
        <v>3</v>
      </c>
      <c r="J22" s="12" t="s">
        <v>858</v>
      </c>
      <c r="K22" s="12" t="s">
        <v>3</v>
      </c>
      <c r="L22"/>
      <c r="M22"/>
      <c r="N22"/>
      <c r="O22"/>
      <c r="P22"/>
      <c r="Q22"/>
      <c r="R22"/>
      <c r="S22"/>
      <c r="T22"/>
      <c r="U22"/>
      <c r="V22"/>
      <c r="W22"/>
      <c r="X22"/>
      <c r="Y22"/>
      <c r="Z22"/>
      <c r="AA22"/>
      <c r="AB22"/>
      <c r="AC22"/>
      <c r="AD22"/>
      <c r="AE22"/>
      <c r="AF22"/>
      <c r="AG22"/>
      <c r="AH22"/>
      <c r="AI22"/>
      <c r="AJ22"/>
      <c r="AK22"/>
      <c r="AL22" s="2" t="s">
        <v>859</v>
      </c>
    </row>
    <row r="23" spans="1:38" x14ac:dyDescent="0.25">
      <c r="A23" s="2" t="s">
        <v>745</v>
      </c>
      <c r="B23" s="12">
        <v>4</v>
      </c>
      <c r="C23"/>
      <c r="D23"/>
      <c r="E23" s="12" t="s">
        <v>3</v>
      </c>
      <c r="F23" s="13" t="s">
        <v>3</v>
      </c>
      <c r="G23" s="12" t="s">
        <v>3</v>
      </c>
      <c r="H23"/>
      <c r="I23" s="12" t="s">
        <v>3</v>
      </c>
      <c r="J23" s="12" t="s">
        <v>860</v>
      </c>
      <c r="K23" s="12" t="s">
        <v>3</v>
      </c>
      <c r="L23"/>
      <c r="M23"/>
      <c r="N23"/>
      <c r="O23"/>
      <c r="P23"/>
      <c r="Q23"/>
      <c r="R23"/>
      <c r="S23"/>
      <c r="T23"/>
      <c r="U23"/>
      <c r="V23"/>
      <c r="W23"/>
      <c r="X23"/>
      <c r="Y23"/>
      <c r="Z23"/>
      <c r="AA23"/>
      <c r="AB23"/>
      <c r="AC23"/>
      <c r="AD23"/>
      <c r="AE23"/>
      <c r="AF23"/>
      <c r="AG23"/>
      <c r="AH23"/>
      <c r="AI23"/>
      <c r="AJ23"/>
      <c r="AK23"/>
      <c r="AL23" s="2" t="s">
        <v>861</v>
      </c>
    </row>
    <row r="24" spans="1:38" x14ac:dyDescent="0.25">
      <c r="A24" s="2" t="s">
        <v>746</v>
      </c>
      <c r="B24" s="12">
        <v>1</v>
      </c>
      <c r="C24"/>
      <c r="D24"/>
      <c r="E24" s="12" t="s">
        <v>3</v>
      </c>
      <c r="F24" s="13" t="s">
        <v>3</v>
      </c>
      <c r="G24"/>
      <c r="H24"/>
      <c r="I24"/>
      <c r="J24"/>
      <c r="K24"/>
      <c r="L24"/>
      <c r="M24"/>
      <c r="N24"/>
      <c r="O24"/>
      <c r="P24"/>
      <c r="Q24" s="12" t="str">
        <f>D2</f>
        <v>147931455725711</v>
      </c>
      <c r="R24" s="12" t="s">
        <v>3</v>
      </c>
      <c r="S24" s="12" t="s">
        <v>3</v>
      </c>
      <c r="T24" s="12" t="s">
        <v>3</v>
      </c>
      <c r="U24"/>
      <c r="V24"/>
      <c r="W24" s="19" t="s">
        <v>866</v>
      </c>
      <c r="X24"/>
      <c r="Y24"/>
      <c r="Z24"/>
      <c r="AA24"/>
      <c r="AB24"/>
      <c r="AC24"/>
      <c r="AD24"/>
      <c r="AE24" s="12" t="s">
        <v>3</v>
      </c>
      <c r="AF24"/>
      <c r="AG24"/>
      <c r="AH24"/>
      <c r="AI24"/>
      <c r="AJ24"/>
      <c r="AK24"/>
      <c r="AL24" s="2" t="s">
        <v>757</v>
      </c>
    </row>
    <row r="25" spans="1:38" x14ac:dyDescent="0.25">
      <c r="A25" s="2" t="s">
        <v>747</v>
      </c>
      <c r="B25" s="2">
        <v>1</v>
      </c>
      <c r="C25"/>
      <c r="D25"/>
      <c r="E25" s="2" t="s">
        <v>3</v>
      </c>
      <c r="F25" s="2" t="s">
        <v>3</v>
      </c>
      <c r="G25"/>
      <c r="H25"/>
      <c r="I25"/>
      <c r="J25"/>
      <c r="K25"/>
      <c r="L25"/>
      <c r="M25"/>
      <c r="N25"/>
      <c r="O25"/>
      <c r="P25"/>
      <c r="Q25" s="28" t="str">
        <f>D4</f>
        <v>147931478069106</v>
      </c>
      <c r="R25" s="2" t="s">
        <v>3</v>
      </c>
      <c r="S25" s="2" t="s">
        <v>3</v>
      </c>
      <c r="T25"/>
      <c r="U25"/>
      <c r="V25" s="2" t="s">
        <v>3</v>
      </c>
      <c r="W25"/>
      <c r="X25"/>
      <c r="Y25"/>
      <c r="Z25"/>
      <c r="AA25"/>
      <c r="AB25"/>
      <c r="AC25"/>
      <c r="AD25"/>
      <c r="AE25"/>
      <c r="AF25"/>
      <c r="AG25"/>
      <c r="AH25"/>
      <c r="AI25"/>
      <c r="AJ25"/>
      <c r="AK25"/>
      <c r="AL25" s="2" t="s">
        <v>757</v>
      </c>
    </row>
    <row r="26" spans="1:38" x14ac:dyDescent="0.25">
      <c r="A26" s="2" t="s">
        <v>748</v>
      </c>
      <c r="B26" s="2">
        <v>1</v>
      </c>
      <c r="C26"/>
      <c r="D26"/>
      <c r="E26" s="2" t="s">
        <v>3</v>
      </c>
      <c r="F26" s="2" t="s">
        <v>3</v>
      </c>
      <c r="G26"/>
      <c r="H26"/>
      <c r="I26"/>
      <c r="J26"/>
      <c r="K26"/>
      <c r="L26"/>
      <c r="M26"/>
      <c r="N26"/>
      <c r="O26"/>
      <c r="P26"/>
      <c r="Q26" s="28" t="str">
        <f>D5</f>
        <v>147931488752690</v>
      </c>
      <c r="R26" s="2" t="s">
        <v>3</v>
      </c>
      <c r="S26" s="2" t="s">
        <v>3</v>
      </c>
      <c r="T26"/>
      <c r="U26" s="2" t="s">
        <v>3</v>
      </c>
      <c r="V26"/>
      <c r="W26"/>
      <c r="X26"/>
      <c r="Y26"/>
      <c r="Z26"/>
      <c r="AA26"/>
      <c r="AB26"/>
      <c r="AC26"/>
      <c r="AD26"/>
      <c r="AE26"/>
      <c r="AF26"/>
      <c r="AG26"/>
      <c r="AH26"/>
      <c r="AI26"/>
      <c r="AJ26"/>
      <c r="AK26"/>
      <c r="AL26" s="2" t="s">
        <v>757</v>
      </c>
    </row>
    <row r="27" spans="1:38" x14ac:dyDescent="0.25">
      <c r="A27" s="2" t="s">
        <v>749</v>
      </c>
      <c r="B27" s="2">
        <v>1</v>
      </c>
      <c r="C27"/>
      <c r="D27"/>
      <c r="E27" s="2" t="s">
        <v>3</v>
      </c>
      <c r="F27" s="2" t="s">
        <v>3</v>
      </c>
      <c r="G27"/>
      <c r="H27"/>
      <c r="I27"/>
      <c r="J27"/>
      <c r="K27"/>
      <c r="L27"/>
      <c r="M27"/>
      <c r="N27"/>
      <c r="O27"/>
      <c r="P27"/>
      <c r="Q27" s="28" t="str">
        <f>D6</f>
        <v>147931499257225</v>
      </c>
      <c r="R27" s="2" t="s">
        <v>3</v>
      </c>
      <c r="S27" s="2" t="s">
        <v>3</v>
      </c>
      <c r="T27"/>
      <c r="U27"/>
      <c r="V27" s="2" t="s">
        <v>3</v>
      </c>
      <c r="W27"/>
      <c r="X27"/>
      <c r="Y27"/>
      <c r="Z27"/>
      <c r="AA27"/>
      <c r="AB27"/>
      <c r="AC27"/>
      <c r="AD27"/>
      <c r="AE27"/>
      <c r="AF27"/>
      <c r="AG27"/>
      <c r="AH27"/>
      <c r="AI27"/>
      <c r="AJ27"/>
      <c r="AK27"/>
      <c r="AL27" s="2" t="s">
        <v>757</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Z15"/>
  <sheetViews>
    <sheetView zoomScale="85" zoomScaleNormal="85" workbookViewId="0">
      <selection activeCell="C9" sqref="C9"/>
    </sheetView>
  </sheetViews>
  <sheetFormatPr defaultRowHeight="15" x14ac:dyDescent="0.25"/>
  <cols>
    <col min="1" max="1" width="5.140625" style="1" bestFit="1" customWidth="1" collapsed="1"/>
    <col min="2" max="2" width="8.7109375" style="1" bestFit="1" customWidth="1" collapsed="1"/>
    <col min="3" max="3" width="32" style="1" customWidth="1" collapsed="1"/>
    <col min="4" max="4" width="13.7109375" style="1" customWidth="1" collapsed="1"/>
    <col min="5" max="5" width="13.7109375" style="1" bestFit="1" customWidth="1" collapsed="1"/>
    <col min="6" max="6" width="12.85546875" style="1" bestFit="1" customWidth="1" collapsed="1"/>
    <col min="7" max="7" width="23.7109375" style="1" customWidth="1" collapsed="1"/>
    <col min="8" max="8" width="11" style="1" bestFit="1" customWidth="1" collapsed="1"/>
    <col min="9" max="9" width="14.85546875" style="1" customWidth="1" collapsed="1"/>
    <col min="10" max="10" width="24.85546875" style="1" customWidth="1" collapsed="1"/>
    <col min="11" max="11" width="20.5703125" style="1" customWidth="1" collapsed="1"/>
    <col min="12" max="12" width="21.7109375" style="1" customWidth="1" collapsed="1"/>
    <col min="13" max="13" width="20.5703125" style="1" customWidth="1" collapsed="1"/>
    <col min="14" max="14" width="16.42578125" style="1" customWidth="1" collapsed="1"/>
    <col min="15" max="15" width="20.5703125" style="1" customWidth="1" collapsed="1"/>
    <col min="16" max="16" width="32.28515625" style="1" bestFit="1" customWidth="1" collapsed="1"/>
    <col min="17" max="18" width="21.140625" style="1" customWidth="1" collapsed="1"/>
    <col min="19" max="19" width="25.28515625" style="1" customWidth="1" collapsed="1"/>
    <col min="20" max="20" width="16.85546875" style="1" bestFit="1" customWidth="1" collapsed="1"/>
    <col min="21" max="21" width="36.5703125" style="1" customWidth="1" collapsed="1"/>
    <col min="22" max="22" width="22.140625" style="1" bestFit="1" customWidth="1" collapsed="1"/>
    <col min="23" max="23" width="68.28515625" style="1" customWidth="1" collapsed="1"/>
    <col min="24" max="24" width="21.140625" style="1" bestFit="1" customWidth="1" collapsed="1"/>
    <col min="25" max="25" width="22.85546875" style="1" bestFit="1" customWidth="1" collapsed="1"/>
    <col min="26" max="16384" width="9.140625" style="1" collapsed="1"/>
  </cols>
  <sheetData>
    <row r="1" spans="1:26" x14ac:dyDescent="0.25">
      <c r="A1" s="4" t="s">
        <v>0</v>
      </c>
      <c r="B1" s="5" t="s">
        <v>20</v>
      </c>
      <c r="C1" s="5" t="s">
        <v>784</v>
      </c>
      <c r="D1" s="5" t="s">
        <v>48</v>
      </c>
      <c r="E1" s="5" t="s">
        <v>87</v>
      </c>
      <c r="F1" s="5" t="s">
        <v>847</v>
      </c>
      <c r="G1" s="5" t="s">
        <v>846</v>
      </c>
      <c r="H1" s="5" t="s">
        <v>845</v>
      </c>
      <c r="I1" s="5" t="s">
        <v>844</v>
      </c>
      <c r="J1" s="18" t="s">
        <v>837</v>
      </c>
      <c r="K1" s="18" t="s">
        <v>843</v>
      </c>
      <c r="L1" s="18" t="s">
        <v>842</v>
      </c>
      <c r="M1" s="18" t="s">
        <v>841</v>
      </c>
      <c r="N1" s="18" t="s">
        <v>840</v>
      </c>
      <c r="O1" s="18" t="s">
        <v>833</v>
      </c>
      <c r="P1" s="2" t="s">
        <v>839</v>
      </c>
      <c r="Q1" s="18" t="s">
        <v>838</v>
      </c>
      <c r="R1" s="18" t="s">
        <v>837</v>
      </c>
      <c r="S1" s="2" t="s">
        <v>836</v>
      </c>
      <c r="T1" s="18" t="s">
        <v>835</v>
      </c>
      <c r="U1" s="18" t="s">
        <v>834</v>
      </c>
      <c r="V1" s="18" t="s">
        <v>833</v>
      </c>
      <c r="W1" s="18" t="s">
        <v>832</v>
      </c>
      <c r="X1" s="18" t="s">
        <v>831</v>
      </c>
      <c r="Y1" s="2" t="s">
        <v>156</v>
      </c>
    </row>
    <row r="2" spans="1:26" x14ac:dyDescent="0.25">
      <c r="A2" s="4" t="s">
        <v>576</v>
      </c>
      <c r="B2" s="6">
        <v>1</v>
      </c>
      <c r="C2" s="6" t="s">
        <v>941</v>
      </c>
      <c r="D2" s="6"/>
      <c r="E2" s="6"/>
      <c r="F2" s="5"/>
      <c r="G2" s="5"/>
      <c r="H2" s="5"/>
      <c r="I2" s="5"/>
      <c r="J2" s="18"/>
      <c r="K2" s="18"/>
      <c r="L2" s="18"/>
      <c r="M2" s="18"/>
      <c r="N2" s="18"/>
      <c r="O2" s="18"/>
      <c r="P2" s="2"/>
      <c r="Q2" s="18"/>
      <c r="R2" s="18"/>
      <c r="S2" s="2"/>
      <c r="T2" s="18"/>
      <c r="U2" s="18"/>
      <c r="V2" s="18"/>
      <c r="W2" s="54"/>
      <c r="X2" s="18"/>
      <c r="Y2" s="2"/>
    </row>
    <row r="3" spans="1:26" x14ac:dyDescent="0.25">
      <c r="A3" s="2" t="s">
        <v>578</v>
      </c>
      <c r="B3" s="6">
        <v>1</v>
      </c>
      <c r="C3" s="6"/>
      <c r="D3" s="6"/>
      <c r="E3" s="6"/>
      <c r="F3" s="2" t="s">
        <v>3</v>
      </c>
      <c r="G3" s="2" t="s">
        <v>3</v>
      </c>
      <c r="H3" s="2" t="s">
        <v>818</v>
      </c>
      <c r="I3" s="2" t="s">
        <v>828</v>
      </c>
      <c r="J3" s="2" t="s">
        <v>830</v>
      </c>
      <c r="K3" s="2"/>
      <c r="L3" s="2"/>
      <c r="M3" s="2"/>
      <c r="N3" s="2"/>
      <c r="O3" s="2" t="s">
        <v>3</v>
      </c>
      <c r="P3" s="2" t="s">
        <v>3</v>
      </c>
      <c r="Q3" s="2"/>
      <c r="R3" s="2"/>
      <c r="S3" s="13"/>
      <c r="T3" s="2"/>
      <c r="U3" s="2"/>
      <c r="V3" s="2"/>
      <c r="W3" s="37"/>
      <c r="X3" s="2"/>
      <c r="Y3" s="13">
        <f>D2</f>
        <v>0</v>
      </c>
    </row>
    <row r="4" spans="1:26" x14ac:dyDescent="0.25">
      <c r="A4" s="2" t="s">
        <v>940</v>
      </c>
      <c r="B4" s="6">
        <v>1</v>
      </c>
      <c r="C4" s="6"/>
      <c r="D4" s="6"/>
      <c r="E4" s="6"/>
      <c r="F4" s="2" t="s">
        <v>3</v>
      </c>
      <c r="G4" s="2" t="s">
        <v>3</v>
      </c>
      <c r="H4" s="2" t="s">
        <v>818</v>
      </c>
      <c r="I4" s="2" t="s">
        <v>828</v>
      </c>
      <c r="J4" s="2" t="s">
        <v>830</v>
      </c>
      <c r="K4" s="2"/>
      <c r="L4" s="2"/>
      <c r="M4" s="2"/>
      <c r="N4" s="2"/>
      <c r="O4" s="2" t="s">
        <v>3</v>
      </c>
      <c r="P4" s="2" t="s">
        <v>3</v>
      </c>
      <c r="Q4" s="2"/>
      <c r="R4" s="2"/>
      <c r="S4" s="13">
        <f>D2</f>
        <v>0</v>
      </c>
      <c r="T4" s="2"/>
      <c r="U4" s="2"/>
      <c r="V4" s="2" t="s">
        <v>3</v>
      </c>
      <c r="W4" s="37"/>
      <c r="X4" s="2"/>
      <c r="Y4" s="13">
        <f>D2</f>
        <v>0</v>
      </c>
    </row>
    <row r="5" spans="1:26" x14ac:dyDescent="0.25">
      <c r="A5" s="2" t="s">
        <v>579</v>
      </c>
      <c r="B5" s="6">
        <v>1</v>
      </c>
      <c r="C5" s="6"/>
      <c r="D5" s="6"/>
      <c r="E5" s="6"/>
      <c r="F5" s="2" t="s">
        <v>3</v>
      </c>
      <c r="G5" s="2" t="s">
        <v>3</v>
      </c>
      <c r="H5" s="2" t="s">
        <v>818</v>
      </c>
      <c r="I5" s="2" t="s">
        <v>828</v>
      </c>
      <c r="J5" s="2" t="s">
        <v>829</v>
      </c>
      <c r="K5" s="2"/>
      <c r="L5" s="2"/>
      <c r="M5" s="2"/>
      <c r="N5" s="2"/>
      <c r="O5" s="2" t="s">
        <v>3</v>
      </c>
      <c r="P5" s="2" t="s">
        <v>3</v>
      </c>
      <c r="Q5" s="2"/>
      <c r="R5" s="33"/>
      <c r="S5" s="13"/>
      <c r="T5" s="2"/>
      <c r="U5" s="2"/>
      <c r="V5" s="2"/>
      <c r="W5" s="37"/>
      <c r="X5" s="2"/>
      <c r="Y5" s="13"/>
    </row>
    <row r="6" spans="1:26" x14ac:dyDescent="0.25">
      <c r="A6" s="2" t="s">
        <v>579</v>
      </c>
      <c r="B6" s="6">
        <v>2</v>
      </c>
      <c r="C6" s="6"/>
      <c r="D6" s="6"/>
      <c r="E6" s="6"/>
      <c r="F6" s="2"/>
      <c r="G6" s="2"/>
      <c r="H6" s="2"/>
      <c r="I6" s="2"/>
      <c r="J6" s="2"/>
      <c r="K6" s="2"/>
      <c r="L6" s="2"/>
      <c r="M6" s="2"/>
      <c r="N6" s="2"/>
      <c r="O6" s="2"/>
      <c r="P6" s="2"/>
      <c r="Q6" s="2" t="s">
        <v>3</v>
      </c>
      <c r="R6" s="33" t="s">
        <v>78</v>
      </c>
      <c r="S6" s="13"/>
      <c r="T6" s="2"/>
      <c r="U6" s="2"/>
      <c r="V6" s="2" t="s">
        <v>3</v>
      </c>
      <c r="W6" s="37"/>
      <c r="X6" s="2"/>
      <c r="Y6" s="13">
        <f>D2</f>
        <v>0</v>
      </c>
    </row>
    <row r="7" spans="1:26" s="48" customFormat="1" ht="51" x14ac:dyDescent="0.25">
      <c r="A7" s="43" t="s">
        <v>580</v>
      </c>
      <c r="B7" s="52">
        <v>1</v>
      </c>
      <c r="C7" s="52"/>
      <c r="D7" s="52"/>
      <c r="E7" s="52"/>
      <c r="F7" s="43" t="s">
        <v>3</v>
      </c>
      <c r="G7" s="43" t="s">
        <v>3</v>
      </c>
      <c r="H7" s="43" t="s">
        <v>818</v>
      </c>
      <c r="I7" s="43" t="s">
        <v>828</v>
      </c>
      <c r="J7" s="43" t="s">
        <v>827</v>
      </c>
      <c r="K7" s="43"/>
      <c r="L7" s="43"/>
      <c r="M7" s="43"/>
      <c r="N7" s="43"/>
      <c r="O7" s="43" t="s">
        <v>3</v>
      </c>
      <c r="P7" s="43"/>
      <c r="Q7" s="43"/>
      <c r="R7" s="51"/>
      <c r="S7" s="49"/>
      <c r="T7" s="41"/>
      <c r="U7" s="41"/>
      <c r="V7" s="43"/>
      <c r="W7" s="50" t="s">
        <v>815</v>
      </c>
      <c r="X7" s="41"/>
      <c r="Y7" s="49"/>
    </row>
    <row r="8" spans="1:26" x14ac:dyDescent="0.25">
      <c r="A8" s="2" t="s">
        <v>581</v>
      </c>
      <c r="B8" s="6">
        <v>1</v>
      </c>
      <c r="C8" s="6"/>
      <c r="D8" s="6"/>
      <c r="E8" s="6"/>
      <c r="F8" s="2" t="s">
        <v>3</v>
      </c>
      <c r="G8" s="2" t="s">
        <v>3</v>
      </c>
      <c r="H8" s="2" t="s">
        <v>818</v>
      </c>
      <c r="I8" s="2" t="s">
        <v>87</v>
      </c>
      <c r="J8" s="2"/>
      <c r="K8" s="2" t="s">
        <v>826</v>
      </c>
      <c r="L8" s="2"/>
      <c r="M8" s="2"/>
      <c r="N8" s="2"/>
      <c r="O8" s="2" t="s">
        <v>3</v>
      </c>
      <c r="P8" s="2" t="s">
        <v>3</v>
      </c>
      <c r="Q8" s="2"/>
      <c r="R8" s="2"/>
      <c r="S8" s="13"/>
      <c r="T8" s="2"/>
      <c r="U8" s="2"/>
      <c r="V8" s="2"/>
      <c r="W8" s="37"/>
      <c r="X8" s="2"/>
      <c r="Y8" s="13" t="s">
        <v>658</v>
      </c>
      <c r="Z8" s="13"/>
    </row>
    <row r="9" spans="1:26" ht="15.75" thickBot="1" x14ac:dyDescent="0.3">
      <c r="A9" s="2" t="s">
        <v>728</v>
      </c>
      <c r="B9" s="6">
        <v>1</v>
      </c>
      <c r="C9" s="6"/>
      <c r="D9" s="6"/>
      <c r="E9" s="6"/>
      <c r="F9" s="2" t="s">
        <v>3</v>
      </c>
      <c r="G9" s="2" t="s">
        <v>3</v>
      </c>
      <c r="H9" s="2" t="s">
        <v>818</v>
      </c>
      <c r="I9" s="2" t="s">
        <v>87</v>
      </c>
      <c r="J9" s="2"/>
      <c r="K9" s="2" t="s">
        <v>826</v>
      </c>
      <c r="L9" s="2" t="s">
        <v>826</v>
      </c>
      <c r="M9" s="2"/>
      <c r="N9" s="2"/>
      <c r="O9" s="2" t="s">
        <v>3</v>
      </c>
      <c r="P9" s="2"/>
      <c r="Q9" s="2"/>
      <c r="R9" s="2"/>
      <c r="S9" s="13"/>
      <c r="T9" s="2"/>
      <c r="U9" s="2"/>
      <c r="V9" s="2"/>
      <c r="W9" s="37" t="s">
        <v>825</v>
      </c>
      <c r="X9" s="2"/>
      <c r="Y9" s="13"/>
      <c r="Z9" s="46"/>
    </row>
    <row r="10" spans="1:26" ht="15.75" thickBot="1" x14ac:dyDescent="0.3">
      <c r="A10" s="2" t="s">
        <v>729</v>
      </c>
      <c r="B10" s="6">
        <v>1</v>
      </c>
      <c r="C10" s="6"/>
      <c r="D10" s="6"/>
      <c r="E10" s="6"/>
      <c r="F10" s="2" t="s">
        <v>3</v>
      </c>
      <c r="G10" s="2" t="s">
        <v>3</v>
      </c>
      <c r="H10" s="2" t="s">
        <v>818</v>
      </c>
      <c r="I10" s="2" t="s">
        <v>824</v>
      </c>
      <c r="J10" s="2"/>
      <c r="K10" s="2"/>
      <c r="L10" s="2"/>
      <c r="M10" s="13" t="s">
        <v>823</v>
      </c>
      <c r="N10" s="13"/>
      <c r="O10" s="2" t="s">
        <v>3</v>
      </c>
      <c r="P10" s="2"/>
      <c r="Q10" s="2"/>
      <c r="R10" s="2"/>
      <c r="S10" s="13"/>
      <c r="T10" s="44"/>
      <c r="U10" s="44"/>
      <c r="V10" s="2"/>
      <c r="W10" s="47" t="s">
        <v>822</v>
      </c>
      <c r="X10" s="44"/>
      <c r="Y10" s="13"/>
      <c r="Z10" s="46"/>
    </row>
    <row r="11" spans="1:26" x14ac:dyDescent="0.25">
      <c r="A11" s="2" t="s">
        <v>730</v>
      </c>
      <c r="B11" s="6">
        <v>1</v>
      </c>
      <c r="C11" s="6"/>
      <c r="D11" s="6"/>
      <c r="E11" s="6"/>
      <c r="F11" s="2" t="s">
        <v>3</v>
      </c>
      <c r="G11" s="2" t="s">
        <v>3</v>
      </c>
      <c r="H11" s="2" t="s">
        <v>818</v>
      </c>
      <c r="I11" s="2" t="s">
        <v>821</v>
      </c>
      <c r="J11" s="2"/>
      <c r="K11" s="2"/>
      <c r="L11" s="2"/>
      <c r="M11" s="2"/>
      <c r="N11" s="13" t="s">
        <v>820</v>
      </c>
      <c r="O11" s="2" t="s">
        <v>3</v>
      </c>
      <c r="P11" s="2"/>
      <c r="Q11" s="2"/>
      <c r="R11" s="2"/>
      <c r="S11" s="2"/>
      <c r="T11" s="44"/>
      <c r="U11" s="44"/>
      <c r="V11" s="2"/>
      <c r="W11" s="45" t="s">
        <v>819</v>
      </c>
      <c r="X11" s="44"/>
      <c r="Y11" s="2"/>
    </row>
    <row r="12" spans="1:26" x14ac:dyDescent="0.25">
      <c r="A12" s="2" t="s">
        <v>731</v>
      </c>
      <c r="B12" s="6">
        <v>1</v>
      </c>
      <c r="C12" s="6"/>
      <c r="D12" s="6"/>
      <c r="E12" s="6"/>
      <c r="F12" s="2" t="s">
        <v>3</v>
      </c>
      <c r="G12" s="2" t="s">
        <v>3</v>
      </c>
      <c r="H12" s="2" t="s">
        <v>818</v>
      </c>
      <c r="I12" s="2" t="s">
        <v>87</v>
      </c>
      <c r="J12" s="2"/>
      <c r="K12" s="2" t="s">
        <v>817</v>
      </c>
      <c r="L12" s="2"/>
      <c r="M12" s="2"/>
      <c r="N12" s="2"/>
      <c r="O12" s="2" t="s">
        <v>3</v>
      </c>
      <c r="P12" s="2"/>
      <c r="Q12" s="2"/>
      <c r="R12" s="2"/>
      <c r="S12" s="2"/>
      <c r="T12" s="44"/>
      <c r="U12" s="44"/>
      <c r="V12" s="2"/>
      <c r="W12" s="45" t="s">
        <v>816</v>
      </c>
      <c r="X12" s="44"/>
      <c r="Y12" s="2"/>
    </row>
    <row r="13" spans="1:26" ht="49.5" customHeight="1" x14ac:dyDescent="0.25">
      <c r="A13" s="2" t="s">
        <v>732</v>
      </c>
      <c r="B13" s="6">
        <v>1</v>
      </c>
      <c r="C13" s="6"/>
      <c r="D13" s="6"/>
      <c r="E13" s="6"/>
      <c r="F13" s="2" t="s">
        <v>3</v>
      </c>
      <c r="G13" s="2" t="s">
        <v>3</v>
      </c>
      <c r="H13" s="2"/>
      <c r="I13" s="2"/>
      <c r="J13" s="2"/>
      <c r="K13" s="2"/>
      <c r="L13" s="2"/>
      <c r="M13" s="2"/>
      <c r="N13" s="2"/>
      <c r="O13" s="2" t="s">
        <v>3</v>
      </c>
      <c r="P13" s="2"/>
      <c r="Q13" s="2"/>
      <c r="R13" s="2"/>
      <c r="S13" s="2"/>
      <c r="T13" s="41"/>
      <c r="U13" s="41"/>
      <c r="V13" s="2"/>
      <c r="W13" s="42" t="s">
        <v>815</v>
      </c>
      <c r="X13" s="41" t="s">
        <v>3</v>
      </c>
      <c r="Y13" s="2"/>
    </row>
    <row r="14" spans="1:26" ht="49.5" customHeight="1" x14ac:dyDescent="0.25">
      <c r="A14" s="2" t="s">
        <v>732</v>
      </c>
      <c r="B14" s="6">
        <v>2</v>
      </c>
      <c r="C14" s="6"/>
      <c r="D14" s="6"/>
      <c r="E14" s="6"/>
      <c r="F14" s="2"/>
      <c r="G14" s="2"/>
      <c r="H14" s="2"/>
      <c r="I14" s="2"/>
      <c r="J14" s="2"/>
      <c r="K14" s="2"/>
      <c r="L14" s="2"/>
      <c r="M14" s="2"/>
      <c r="N14" s="2"/>
      <c r="O14" s="2"/>
      <c r="P14" s="2"/>
      <c r="Q14" s="2"/>
      <c r="R14" s="2"/>
      <c r="S14" s="2"/>
      <c r="T14" s="41" t="s">
        <v>33</v>
      </c>
      <c r="U14" s="41"/>
      <c r="V14" s="43" t="s">
        <v>3</v>
      </c>
      <c r="W14" s="42" t="s">
        <v>815</v>
      </c>
      <c r="X14" s="41" t="s">
        <v>3</v>
      </c>
      <c r="Y14" s="2"/>
    </row>
    <row r="15" spans="1:26" ht="49.5" customHeight="1" x14ac:dyDescent="0.25">
      <c r="A15" s="2"/>
      <c r="B15" s="6"/>
      <c r="C15" s="6"/>
      <c r="D15" s="6"/>
      <c r="E15" s="6"/>
      <c r="F15" s="2"/>
      <c r="G15" s="2"/>
      <c r="H15" s="2"/>
      <c r="I15" s="2"/>
      <c r="J15" s="2"/>
      <c r="K15" s="2"/>
      <c r="L15" s="2"/>
      <c r="M15" s="2"/>
      <c r="N15" s="2"/>
      <c r="O15" s="2"/>
      <c r="P15" s="2"/>
      <c r="Q15" s="2"/>
      <c r="R15" s="2"/>
      <c r="S15" s="2"/>
      <c r="T15" s="41"/>
      <c r="U15" s="41"/>
      <c r="V15" s="43"/>
      <c r="W15" s="42"/>
      <c r="X15" s="41"/>
      <c r="Y15" s="2"/>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27"/>
  <sheetViews>
    <sheetView zoomScale="85" zoomScaleNormal="85" workbookViewId="0">
      <pane xSplit="1" ySplit="1" topLeftCell="C2" activePane="bottomRight" state="frozen"/>
      <selection activeCell="A2" sqref="A2"/>
      <selection pane="topRight" activeCell="A2" sqref="A2"/>
      <selection pane="bottomLeft" activeCell="A2" sqref="A2"/>
      <selection pane="bottomRight" activeCell="Q7" sqref="Q7"/>
    </sheetView>
  </sheetViews>
  <sheetFormatPr defaultRowHeight="15" x14ac:dyDescent="0.25"/>
  <cols>
    <col min="1" max="1" width="7.140625" style="1" bestFit="1" customWidth="1" collapsed="1"/>
    <col min="2" max="2" width="8.7109375" style="1" bestFit="1" customWidth="1" collapsed="1"/>
    <col min="3" max="3" width="15.5703125" style="1" bestFit="1" customWidth="1" collapsed="1"/>
    <col min="4" max="4" width="16" style="1" bestFit="1" customWidth="1" collapsed="1"/>
    <col min="5" max="5" width="16" style="1" customWidth="1" collapsed="1"/>
    <col min="6" max="6" width="10.42578125" style="1" bestFit="1" customWidth="1" collapsed="1"/>
    <col min="7" max="7" width="11.42578125" style="1" bestFit="1" customWidth="1" collapsed="1"/>
    <col min="8" max="8" width="7.85546875" style="1" bestFit="1" customWidth="1" collapsed="1"/>
    <col min="9" max="9" width="14.28515625" style="1" bestFit="1" customWidth="1" collapsed="1"/>
    <col min="10" max="10" width="12.7109375" style="1" bestFit="1" customWidth="1" collapsed="1"/>
    <col min="11" max="11" width="16.42578125" style="1" bestFit="1" customWidth="1" collapsed="1"/>
    <col min="12" max="12" width="23.85546875" style="1" bestFit="1" customWidth="1" collapsed="1"/>
    <col min="13" max="13" width="13.7109375" style="1" bestFit="1" customWidth="1" collapsed="1"/>
    <col min="14" max="14" width="9.28515625" style="1" bestFit="1" customWidth="1" collapsed="1"/>
    <col min="15" max="15" width="9.7109375" style="1" bestFit="1" customWidth="1" collapsed="1"/>
    <col min="16" max="16" width="15.7109375" style="1" bestFit="1" customWidth="1" collapsed="1"/>
    <col min="17" max="17" width="14.42578125" style="1" bestFit="1" customWidth="1" collapsed="1"/>
    <col min="18" max="18" width="115.140625" style="1" bestFit="1" customWidth="1" collapsed="1"/>
    <col min="19" max="16384" width="9.140625" style="1" collapsed="1"/>
  </cols>
  <sheetData>
    <row r="1" spans="1:18" x14ac:dyDescent="0.25">
      <c r="A1" s="9" t="s">
        <v>0</v>
      </c>
      <c r="B1" s="5" t="s">
        <v>20</v>
      </c>
      <c r="C1" s="5" t="s">
        <v>640</v>
      </c>
      <c r="D1" s="5" t="s">
        <v>48</v>
      </c>
      <c r="E1" s="5" t="s">
        <v>87</v>
      </c>
      <c r="F1" s="5" t="s">
        <v>77</v>
      </c>
      <c r="G1" s="5" t="s">
        <v>180</v>
      </c>
      <c r="H1" s="5" t="s">
        <v>181</v>
      </c>
      <c r="I1" s="5" t="s">
        <v>182</v>
      </c>
      <c r="J1" s="5" t="s">
        <v>132</v>
      </c>
      <c r="K1" s="5" t="s">
        <v>157</v>
      </c>
      <c r="L1" s="5" t="s">
        <v>158</v>
      </c>
      <c r="M1" s="18" t="s">
        <v>1055</v>
      </c>
      <c r="N1" s="18" t="s">
        <v>133</v>
      </c>
      <c r="O1" s="9" t="s">
        <v>134</v>
      </c>
      <c r="P1" s="9" t="s">
        <v>150</v>
      </c>
      <c r="Q1" s="9" t="s">
        <v>62</v>
      </c>
      <c r="R1" s="9" t="s">
        <v>145</v>
      </c>
    </row>
    <row r="2" spans="1:18" x14ac:dyDescent="0.25">
      <c r="A2" s="2" t="s">
        <v>333</v>
      </c>
      <c r="B2" s="6">
        <v>1</v>
      </c>
      <c r="C2" s="36" t="s">
        <v>87</v>
      </c>
      <c r="D2" t="s">
        <v>1151</v>
      </c>
      <c r="E2" t="s">
        <v>1152</v>
      </c>
      <c r="F2"/>
      <c r="G2"/>
      <c r="H2"/>
      <c r="I2"/>
      <c r="J2"/>
      <c r="K2"/>
      <c r="L2"/>
      <c r="M2"/>
      <c r="N2"/>
      <c r="O2"/>
      <c r="P2"/>
      <c r="Q2"/>
      <c r="R2"/>
    </row>
    <row r="3" spans="1:18" x14ac:dyDescent="0.25">
      <c r="A3" s="2" t="s">
        <v>335</v>
      </c>
      <c r="B3" s="6">
        <v>1</v>
      </c>
      <c r="C3" s="36" t="s">
        <v>48</v>
      </c>
      <c r="D3" t="s">
        <v>1153</v>
      </c>
      <c r="E3"/>
      <c r="F3"/>
      <c r="G3"/>
      <c r="H3"/>
      <c r="I3"/>
      <c r="J3"/>
      <c r="K3"/>
      <c r="L3"/>
      <c r="M3"/>
      <c r="N3"/>
      <c r="O3"/>
      <c r="P3"/>
      <c r="Q3"/>
      <c r="R3"/>
    </row>
    <row r="4" spans="1:18" x14ac:dyDescent="0.25">
      <c r="A4" s="2" t="s">
        <v>337</v>
      </c>
      <c r="B4" s="6">
        <v>1</v>
      </c>
      <c r="C4" s="36" t="s">
        <v>48</v>
      </c>
      <c r="D4" t="s">
        <v>1154</v>
      </c>
      <c r="E4"/>
      <c r="F4"/>
      <c r="G4"/>
      <c r="H4"/>
      <c r="I4"/>
      <c r="J4"/>
      <c r="K4"/>
      <c r="L4"/>
      <c r="M4"/>
      <c r="N4"/>
      <c r="O4"/>
      <c r="P4"/>
      <c r="Q4"/>
      <c r="R4"/>
    </row>
    <row r="5" spans="1:18" x14ac:dyDescent="0.25">
      <c r="A5" s="2" t="s">
        <v>338</v>
      </c>
      <c r="B5" s="6">
        <v>1</v>
      </c>
      <c r="C5" s="36" t="s">
        <v>48</v>
      </c>
      <c r="D5" t="s">
        <v>1155</v>
      </c>
      <c r="E5"/>
      <c r="F5"/>
      <c r="G5"/>
      <c r="H5"/>
      <c r="I5"/>
      <c r="J5"/>
      <c r="K5"/>
      <c r="L5"/>
      <c r="M5"/>
      <c r="N5"/>
      <c r="O5"/>
      <c r="P5"/>
      <c r="Q5"/>
      <c r="R5"/>
    </row>
    <row r="6" spans="1:18" x14ac:dyDescent="0.25">
      <c r="A6" s="2" t="s">
        <v>339</v>
      </c>
      <c r="B6" s="6">
        <v>1</v>
      </c>
      <c r="C6" s="36" t="s">
        <v>48</v>
      </c>
      <c r="D6" t="s">
        <v>1188</v>
      </c>
      <c r="E6"/>
      <c r="F6"/>
      <c r="G6"/>
      <c r="H6"/>
      <c r="I6"/>
      <c r="J6"/>
      <c r="K6"/>
      <c r="L6"/>
      <c r="M6"/>
      <c r="N6"/>
      <c r="O6"/>
      <c r="P6"/>
      <c r="Q6"/>
      <c r="R6"/>
    </row>
    <row r="7" spans="1:18" x14ac:dyDescent="0.25">
      <c r="A7" s="2" t="s">
        <v>340</v>
      </c>
      <c r="B7" s="6">
        <v>1</v>
      </c>
      <c r="C7" s="36" t="s">
        <v>48</v>
      </c>
      <c r="D7" t="s">
        <v>1163</v>
      </c>
      <c r="E7"/>
      <c r="F7"/>
      <c r="G7"/>
      <c r="H7"/>
      <c r="I7"/>
      <c r="J7"/>
      <c r="K7"/>
      <c r="L7"/>
      <c r="M7"/>
      <c r="N7"/>
      <c r="O7"/>
      <c r="P7"/>
      <c r="Q7"/>
      <c r="R7"/>
    </row>
    <row r="8" spans="1:18" x14ac:dyDescent="0.25">
      <c r="A8" s="2" t="s">
        <v>1189</v>
      </c>
      <c r="B8"/>
      <c r="C8" s="36" t="s">
        <v>48</v>
      </c>
      <c r="D8" t="s">
        <v>1190</v>
      </c>
      <c r="E8"/>
      <c r="F8"/>
      <c r="G8"/>
      <c r="H8"/>
      <c r="I8"/>
      <c r="J8"/>
      <c r="K8"/>
      <c r="L8"/>
      <c r="M8"/>
      <c r="N8"/>
      <c r="O8"/>
      <c r="P8"/>
      <c r="Q8"/>
      <c r="R8"/>
    </row>
    <row r="9" spans="1:18" x14ac:dyDescent="0.25">
      <c r="A9" s="2" t="s">
        <v>127</v>
      </c>
      <c r="B9" s="6">
        <v>1</v>
      </c>
      <c r="C9"/>
      <c r="D9"/>
      <c r="E9"/>
      <c r="F9" s="2" t="s">
        <v>3</v>
      </c>
      <c r="G9"/>
      <c r="H9"/>
      <c r="I9"/>
      <c r="J9" s="2" t="s">
        <v>3</v>
      </c>
      <c r="K9" s="12" t="str">
        <f>AccountMerge!D2</f>
        <v>147922147432411</v>
      </c>
      <c r="L9"/>
      <c r="M9" s="2" t="s">
        <v>3</v>
      </c>
      <c r="N9" s="2" t="s">
        <v>3</v>
      </c>
      <c r="O9" s="2" t="s">
        <v>3</v>
      </c>
      <c r="P9"/>
      <c r="Q9" s="2" t="s">
        <v>3</v>
      </c>
      <c r="R9" s="2" t="str">
        <f>("MergeValidation:::Account Merge is complete. Please review and update AIF in other systems as needed."&amp;":::"&amp;E2)</f>
        <v>MergeValidation:::Account Merge is complete. Please review and update AIF in other systems as needed.:::46WECAA00RF</v>
      </c>
    </row>
    <row r="10" spans="1:18" x14ac:dyDescent="0.25">
      <c r="A10" s="2" t="s">
        <v>146</v>
      </c>
      <c r="B10" s="6">
        <v>1</v>
      </c>
      <c r="C10"/>
      <c r="D10"/>
      <c r="E10"/>
      <c r="F10" s="2" t="s">
        <v>3</v>
      </c>
      <c r="G10"/>
      <c r="H10"/>
      <c r="I10"/>
      <c r="J10"/>
      <c r="K10"/>
      <c r="L10"/>
      <c r="M10"/>
      <c r="N10"/>
      <c r="O10"/>
      <c r="P10"/>
      <c r="Q10"/>
      <c r="R10" s="2" t="s">
        <v>161</v>
      </c>
    </row>
    <row r="11" spans="1:18" x14ac:dyDescent="0.25">
      <c r="A11" s="2" t="s">
        <v>136</v>
      </c>
      <c r="B11" s="6">
        <v>1</v>
      </c>
      <c r="C11"/>
      <c r="D11"/>
      <c r="E11"/>
      <c r="F11" s="2" t="s">
        <v>3</v>
      </c>
      <c r="G11"/>
      <c r="H11"/>
      <c r="I11"/>
      <c r="J11" s="2" t="s">
        <v>3</v>
      </c>
      <c r="K11" s="19" t="str">
        <f>AccountMerge!D2</f>
        <v>147922147432411</v>
      </c>
      <c r="L11"/>
      <c r="M11" s="2" t="s">
        <v>3</v>
      </c>
      <c r="N11" s="2" t="s">
        <v>3</v>
      </c>
      <c r="O11"/>
      <c r="P11" s="2" t="s">
        <v>3</v>
      </c>
      <c r="Q11"/>
      <c r="R11" s="2" t="s">
        <v>162</v>
      </c>
    </row>
    <row r="12" spans="1:18" x14ac:dyDescent="0.25">
      <c r="A12" s="2" t="s">
        <v>151</v>
      </c>
      <c r="B12" s="6">
        <v>1</v>
      </c>
      <c r="C12"/>
      <c r="D12"/>
      <c r="E12"/>
      <c r="F12" s="2" t="s">
        <v>3</v>
      </c>
      <c r="G12"/>
      <c r="H12"/>
      <c r="I12"/>
      <c r="J12" s="2" t="s">
        <v>3</v>
      </c>
      <c r="K12" s="19" t="str">
        <f>AccountMerge!D2</f>
        <v>147922147432411</v>
      </c>
      <c r="L12"/>
      <c r="M12" s="2" t="s">
        <v>3</v>
      </c>
      <c r="N12"/>
      <c r="O12"/>
      <c r="P12"/>
      <c r="Q12"/>
      <c r="R12" s="2" t="s">
        <v>163</v>
      </c>
    </row>
    <row r="13" spans="1:18" x14ac:dyDescent="0.25">
      <c r="A13" s="2" t="s">
        <v>154</v>
      </c>
      <c r="B13" s="6">
        <v>1</v>
      </c>
      <c r="C13"/>
      <c r="D13"/>
      <c r="E13"/>
      <c r="F13" s="2" t="s">
        <v>3</v>
      </c>
      <c r="G13"/>
      <c r="H13"/>
      <c r="I13"/>
      <c r="J13" s="2" t="s">
        <v>3</v>
      </c>
      <c r="K13" s="19" t="str">
        <f>D3</f>
        <v>147922269795007</v>
      </c>
      <c r="L13"/>
      <c r="M13" s="2" t="s">
        <v>3</v>
      </c>
      <c r="N13"/>
      <c r="O13"/>
      <c r="P13"/>
      <c r="Q13"/>
      <c r="R13" s="2" t="s">
        <v>164</v>
      </c>
    </row>
    <row r="14" spans="1:18" x14ac:dyDescent="0.25">
      <c r="A14" s="2" t="s">
        <v>155</v>
      </c>
      <c r="B14" s="6">
        <v>1</v>
      </c>
      <c r="C14"/>
      <c r="D14"/>
      <c r="E14"/>
      <c r="F14" s="2" t="s">
        <v>3</v>
      </c>
      <c r="G14"/>
      <c r="H14"/>
      <c r="I14"/>
      <c r="J14" s="2" t="s">
        <v>3</v>
      </c>
      <c r="K14" s="19" t="str">
        <f>AccountMerge!D2</f>
        <v>147922147432411</v>
      </c>
      <c r="L14"/>
      <c r="M14" s="2" t="s">
        <v>3</v>
      </c>
      <c r="N14"/>
      <c r="O14"/>
      <c r="P14"/>
      <c r="Q14"/>
      <c r="R14"/>
    </row>
    <row r="15" spans="1:18" x14ac:dyDescent="0.25">
      <c r="A15" s="2" t="s">
        <v>178</v>
      </c>
      <c r="B15" s="6">
        <v>1</v>
      </c>
      <c r="C15"/>
      <c r="D15"/>
      <c r="E15"/>
      <c r="F15"/>
      <c r="G15" s="2" t="s">
        <v>3</v>
      </c>
      <c r="H15" s="2" t="s">
        <v>3</v>
      </c>
      <c r="I15" s="2" t="s">
        <v>3</v>
      </c>
      <c r="J15"/>
      <c r="K15"/>
      <c r="L15"/>
      <c r="M15"/>
      <c r="N15"/>
      <c r="O15"/>
      <c r="P15"/>
      <c r="Q15"/>
      <c r="R15"/>
    </row>
    <row r="16" spans="1:18" x14ac:dyDescent="0.25">
      <c r="A16" s="2" t="s">
        <v>194</v>
      </c>
      <c r="B16" s="6">
        <v>1</v>
      </c>
      <c r="C16"/>
      <c r="D16"/>
      <c r="E16"/>
      <c r="F16" s="2" t="s">
        <v>3</v>
      </c>
      <c r="G16"/>
      <c r="H16"/>
      <c r="I16"/>
      <c r="J16" s="2" t="s">
        <v>3</v>
      </c>
      <c r="K16" s="19" t="str">
        <f>AccountMerge!D5</f>
        <v>147922285028781</v>
      </c>
      <c r="L16"/>
      <c r="M16" s="2" t="s">
        <v>3</v>
      </c>
      <c r="N16" s="2" t="s">
        <v>3</v>
      </c>
      <c r="O16" s="2" t="s">
        <v>3</v>
      </c>
      <c r="P16"/>
      <c r="Q16" s="2" t="s">
        <v>3</v>
      </c>
      <c r="R16" s="2" t="s">
        <v>159</v>
      </c>
    </row>
    <row r="17" spans="1:18" x14ac:dyDescent="0.25">
      <c r="A17" s="2" t="s">
        <v>240</v>
      </c>
      <c r="B17" s="6">
        <v>1</v>
      </c>
      <c r="C17"/>
      <c r="D17"/>
      <c r="E17"/>
      <c r="F17" s="2" t="s">
        <v>3</v>
      </c>
      <c r="G17"/>
      <c r="H17"/>
      <c r="I17"/>
      <c r="J17" s="2" t="s">
        <v>3</v>
      </c>
      <c r="K17" s="24" t="str">
        <f>AccountMerge!D6</f>
        <v>147936639984376</v>
      </c>
      <c r="L17"/>
      <c r="M17" s="2" t="s">
        <v>3</v>
      </c>
      <c r="N17" s="2" t="s">
        <v>3</v>
      </c>
      <c r="O17" s="2" t="s">
        <v>3</v>
      </c>
      <c r="P17"/>
      <c r="Q17" s="2" t="s">
        <v>3</v>
      </c>
      <c r="R17" s="2" t="s">
        <v>159</v>
      </c>
    </row>
    <row r="18" spans="1:18" x14ac:dyDescent="0.25">
      <c r="A18" s="2" t="s">
        <v>240</v>
      </c>
      <c r="B18" s="6">
        <v>2</v>
      </c>
      <c r="C18"/>
      <c r="D18"/>
      <c r="E18"/>
      <c r="F18"/>
      <c r="G18" s="2" t="s">
        <v>3</v>
      </c>
      <c r="H18"/>
      <c r="I18"/>
      <c r="J18"/>
      <c r="K18"/>
      <c r="L18"/>
      <c r="M18"/>
      <c r="N18"/>
      <c r="O18"/>
      <c r="P18"/>
      <c r="Q18"/>
      <c r="R18"/>
    </row>
    <row r="27" spans="1:18" x14ac:dyDescent="0.25">
      <c r="A27"/>
      <c r="B27"/>
      <c r="C27"/>
      <c r="D27"/>
      <c r="E27"/>
      <c r="F27"/>
      <c r="G27"/>
      <c r="H27"/>
      <c r="I27"/>
      <c r="J27"/>
      <c r="K27"/>
      <c r="L27"/>
      <c r="M27"/>
      <c r="N27"/>
      <c r="O27"/>
      <c r="P27"/>
      <c r="Q27"/>
      <c r="R27"/>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S52"/>
  <sheetViews>
    <sheetView zoomScale="70" zoomScaleNormal="70" workbookViewId="0">
      <pane xSplit="2" ySplit="1" topLeftCell="C2" activePane="bottomRight" state="frozen"/>
      <selection activeCell="A2" sqref="A2"/>
      <selection pane="topRight" activeCell="A2" sqref="A2"/>
      <selection pane="bottomLeft" activeCell="A2" sqref="A2"/>
      <selection pane="bottomRight" activeCell="D2" sqref="D2"/>
    </sheetView>
  </sheetViews>
  <sheetFormatPr defaultRowHeight="15" x14ac:dyDescent="0.25"/>
  <cols>
    <col min="1" max="1" width="6" style="14" bestFit="1" customWidth="1" collapsed="1"/>
    <col min="2" max="2" width="11.140625" style="14" customWidth="1" collapsed="1"/>
    <col min="3" max="3" width="17.140625" style="14" bestFit="1" customWidth="1" collapsed="1"/>
    <col min="4" max="4" width="20.140625" style="14" bestFit="1" customWidth="1" collapsed="1"/>
    <col min="5" max="5" width="13.42578125" style="14" bestFit="1" customWidth="1" collapsed="1"/>
    <col min="6" max="6" width="14.5703125" style="14" bestFit="1" customWidth="1" collapsed="1"/>
    <col min="7" max="7" width="21.7109375" style="14" bestFit="1" customWidth="1" collapsed="1"/>
    <col min="8" max="8" width="15.7109375" style="14" bestFit="1" customWidth="1" collapsed="1"/>
    <col min="9" max="16" width="21.7109375" style="14" customWidth="1" collapsed="1"/>
    <col min="17" max="17" width="13.42578125" style="14" bestFit="1" customWidth="1" collapsed="1"/>
    <col min="18" max="18" width="197.85546875" style="14" bestFit="1" customWidth="1" collapsed="1"/>
    <col min="19" max="16384" width="9.140625" style="14" collapsed="1"/>
  </cols>
  <sheetData>
    <row r="1" spans="1:19" x14ac:dyDescent="0.25">
      <c r="A1" s="9" t="s">
        <v>0</v>
      </c>
      <c r="B1" s="9" t="s">
        <v>20</v>
      </c>
      <c r="C1" s="5" t="s">
        <v>640</v>
      </c>
      <c r="D1" s="5" t="s">
        <v>48</v>
      </c>
      <c r="E1" s="5" t="s">
        <v>199</v>
      </c>
      <c r="F1" s="9" t="s">
        <v>200</v>
      </c>
      <c r="G1" s="9" t="s">
        <v>144</v>
      </c>
      <c r="H1" s="9" t="s">
        <v>168</v>
      </c>
      <c r="I1" s="9" t="s">
        <v>172</v>
      </c>
      <c r="J1" s="9" t="s">
        <v>157</v>
      </c>
      <c r="K1" s="5" t="s">
        <v>158</v>
      </c>
      <c r="L1" s="5" t="s">
        <v>192</v>
      </c>
      <c r="M1" s="5" t="s">
        <v>188</v>
      </c>
      <c r="N1" s="5" t="s">
        <v>189</v>
      </c>
      <c r="O1" s="5" t="s">
        <v>190</v>
      </c>
      <c r="P1" s="5" t="s">
        <v>143</v>
      </c>
      <c r="Q1" s="9" t="s">
        <v>1055</v>
      </c>
      <c r="R1" s="9" t="s">
        <v>156</v>
      </c>
    </row>
    <row r="2" spans="1:19" x14ac:dyDescent="0.25">
      <c r="A2" s="2" t="s">
        <v>333</v>
      </c>
      <c r="B2" s="4">
        <v>1</v>
      </c>
      <c r="C2" s="36" t="s">
        <v>48</v>
      </c>
      <c r="D2" t="s">
        <v>1151</v>
      </c>
      <c r="E2"/>
      <c r="F2"/>
      <c r="G2"/>
      <c r="H2"/>
      <c r="I2"/>
      <c r="J2"/>
      <c r="K2"/>
      <c r="L2"/>
      <c r="M2"/>
      <c r="N2"/>
      <c r="O2"/>
      <c r="P2"/>
      <c r="Q2"/>
      <c r="R2"/>
    </row>
    <row r="3" spans="1:19" x14ac:dyDescent="0.25">
      <c r="A3" s="2" t="s">
        <v>127</v>
      </c>
      <c r="B3" s="2">
        <v>1</v>
      </c>
      <c r="C3"/>
      <c r="D3"/>
      <c r="E3"/>
      <c r="F3"/>
      <c r="G3"/>
      <c r="H3"/>
      <c r="I3"/>
      <c r="J3"/>
      <c r="K3"/>
      <c r="L3"/>
      <c r="M3"/>
      <c r="N3"/>
      <c r="O3"/>
      <c r="P3"/>
      <c r="Q3"/>
      <c r="R3" s="2" t="s">
        <v>198</v>
      </c>
    </row>
    <row r="4" spans="1:19" x14ac:dyDescent="0.25">
      <c r="A4" s="2" t="s">
        <v>127</v>
      </c>
      <c r="B4" s="2">
        <v>2</v>
      </c>
      <c r="C4"/>
      <c r="D4"/>
      <c r="E4" s="2" t="s">
        <v>3</v>
      </c>
      <c r="F4" s="2" t="s">
        <v>3</v>
      </c>
      <c r="G4" t="str">
        <f>AccountMergeVerification!D2</f>
        <v>147922147432411</v>
      </c>
      <c r="H4"/>
      <c r="I4"/>
      <c r="J4"/>
      <c r="K4"/>
      <c r="L4"/>
      <c r="M4"/>
      <c r="N4"/>
      <c r="O4"/>
      <c r="P4" s="2" t="s">
        <v>3</v>
      </c>
      <c r="Q4"/>
      <c r="R4" s="2" t="s">
        <v>201</v>
      </c>
    </row>
    <row r="5" spans="1:19" x14ac:dyDescent="0.25">
      <c r="A5" s="2" t="s">
        <v>155</v>
      </c>
      <c r="B5" s="2">
        <v>1</v>
      </c>
      <c r="C5"/>
      <c r="D5"/>
      <c r="E5"/>
      <c r="F5"/>
      <c r="G5"/>
      <c r="H5" s="13" t="s">
        <v>3</v>
      </c>
      <c r="I5"/>
      <c r="J5"/>
      <c r="K5"/>
      <c r="L5"/>
      <c r="M5"/>
      <c r="N5"/>
      <c r="O5"/>
      <c r="P5"/>
      <c r="Q5"/>
      <c r="R5" s="13" t="s">
        <v>167</v>
      </c>
    </row>
    <row r="6" spans="1:19" x14ac:dyDescent="0.25">
      <c r="A6" s="2" t="s">
        <v>155</v>
      </c>
      <c r="B6" s="2">
        <v>2</v>
      </c>
      <c r="C6"/>
      <c r="D6"/>
      <c r="E6"/>
      <c r="F6"/>
      <c r="G6"/>
      <c r="H6"/>
      <c r="I6"/>
      <c r="J6"/>
      <c r="K6"/>
      <c r="L6"/>
      <c r="M6"/>
      <c r="N6"/>
      <c r="O6"/>
      <c r="P6"/>
      <c r="Q6" s="13" t="s">
        <v>3</v>
      </c>
      <c r="R6" s="2" t="s">
        <v>166</v>
      </c>
    </row>
    <row r="7" spans="1:19" x14ac:dyDescent="0.25">
      <c r="A7" s="2" t="s">
        <v>155</v>
      </c>
      <c r="B7" s="2">
        <v>3</v>
      </c>
      <c r="C7"/>
      <c r="D7"/>
      <c r="E7"/>
      <c r="F7"/>
      <c r="G7"/>
      <c r="H7" s="2" t="s">
        <v>3</v>
      </c>
      <c r="I7"/>
      <c r="J7"/>
      <c r="K7" s="2" t="s">
        <v>170</v>
      </c>
      <c r="L7"/>
      <c r="M7"/>
      <c r="N7"/>
      <c r="O7"/>
      <c r="P7"/>
      <c r="Q7" s="2" t="s">
        <v>3</v>
      </c>
      <c r="R7" s="2" t="s">
        <v>1056</v>
      </c>
    </row>
    <row r="8" spans="1:19" x14ac:dyDescent="0.25">
      <c r="A8" s="2" t="s">
        <v>155</v>
      </c>
      <c r="B8" s="2">
        <v>4</v>
      </c>
      <c r="C8"/>
      <c r="D8"/>
      <c r="E8"/>
      <c r="F8"/>
      <c r="G8"/>
      <c r="H8" s="2" t="s">
        <v>3</v>
      </c>
      <c r="I8" s="2" t="s">
        <v>3</v>
      </c>
      <c r="J8"/>
      <c r="K8" s="2" t="s">
        <v>171</v>
      </c>
      <c r="L8"/>
      <c r="M8"/>
      <c r="N8"/>
      <c r="O8"/>
      <c r="P8"/>
      <c r="Q8" s="2" t="s">
        <v>3</v>
      </c>
      <c r="R8" s="2" t="s">
        <v>173</v>
      </c>
    </row>
    <row r="9" spans="1:19" x14ac:dyDescent="0.25">
      <c r="A9" s="2" t="s">
        <v>155</v>
      </c>
      <c r="B9" s="2">
        <v>5</v>
      </c>
      <c r="C9"/>
      <c r="D9"/>
      <c r="E9"/>
      <c r="F9"/>
      <c r="G9"/>
      <c r="H9" s="2" t="s">
        <v>3</v>
      </c>
      <c r="I9"/>
      <c r="J9"/>
      <c r="K9"/>
      <c r="L9" s="2">
        <v>123456</v>
      </c>
      <c r="M9"/>
      <c r="N9"/>
      <c r="O9"/>
      <c r="P9"/>
      <c r="Q9" s="2" t="s">
        <v>3</v>
      </c>
      <c r="R9" s="2" t="s">
        <v>1057</v>
      </c>
    </row>
    <row r="10" spans="1:19" x14ac:dyDescent="0.25">
      <c r="A10" s="2" t="s">
        <v>155</v>
      </c>
      <c r="B10" s="2">
        <v>6</v>
      </c>
      <c r="C10"/>
      <c r="D10"/>
      <c r="E10"/>
      <c r="F10"/>
      <c r="G10"/>
      <c r="H10" s="2" t="s">
        <v>3</v>
      </c>
      <c r="I10"/>
      <c r="J10"/>
      <c r="K10"/>
      <c r="L10"/>
      <c r="M10" s="13" t="s">
        <v>175</v>
      </c>
      <c r="N10"/>
      <c r="O10"/>
      <c r="P10"/>
      <c r="Q10" s="2" t="s">
        <v>3</v>
      </c>
      <c r="R10" s="2" t="s">
        <v>1058</v>
      </c>
    </row>
    <row r="11" spans="1:19" x14ac:dyDescent="0.25">
      <c r="A11" s="2" t="s">
        <v>155</v>
      </c>
      <c r="B11" s="2">
        <v>7</v>
      </c>
      <c r="C11"/>
      <c r="D11"/>
      <c r="E11"/>
      <c r="F11"/>
      <c r="G11"/>
      <c r="H11" s="2" t="s">
        <v>3</v>
      </c>
      <c r="I11"/>
      <c r="J11" s="2">
        <v>1234567890</v>
      </c>
      <c r="K11"/>
      <c r="L11"/>
      <c r="M11"/>
      <c r="N11"/>
      <c r="O11"/>
      <c r="P11"/>
      <c r="Q11" s="2" t="s">
        <v>3</v>
      </c>
      <c r="R11" s="2" t="s">
        <v>1059</v>
      </c>
    </row>
    <row r="12" spans="1:19" x14ac:dyDescent="0.25">
      <c r="A12" s="2" t="s">
        <v>155</v>
      </c>
      <c r="B12" s="2">
        <v>8</v>
      </c>
      <c r="C12"/>
      <c r="D12"/>
      <c r="E12"/>
      <c r="F12"/>
      <c r="G12"/>
      <c r="H12" s="2" t="s">
        <v>3</v>
      </c>
      <c r="I12"/>
      <c r="J12"/>
      <c r="K12"/>
      <c r="L12"/>
      <c r="M12"/>
      <c r="N12" s="13">
        <v>12345678</v>
      </c>
      <c r="O12"/>
      <c r="P12"/>
      <c r="Q12" s="2" t="s">
        <v>3</v>
      </c>
      <c r="R12" s="2" t="s">
        <v>1060</v>
      </c>
    </row>
    <row r="13" spans="1:19" x14ac:dyDescent="0.25">
      <c r="A13" s="2" t="s">
        <v>155</v>
      </c>
      <c r="B13" s="2">
        <v>9</v>
      </c>
      <c r="C13"/>
      <c r="D13"/>
      <c r="E13"/>
      <c r="F13"/>
      <c r="G13"/>
      <c r="H13" s="2" t="s">
        <v>3</v>
      </c>
      <c r="I13"/>
      <c r="J13"/>
      <c r="K13"/>
      <c r="L13"/>
      <c r="M13"/>
      <c r="N13"/>
      <c r="O13" s="2">
        <v>12345678</v>
      </c>
      <c r="P13"/>
      <c r="Q13" s="2" t="s">
        <v>3</v>
      </c>
      <c r="R13" s="2" t="s">
        <v>1061</v>
      </c>
    </row>
    <row r="14" spans="1:19" x14ac:dyDescent="0.25">
      <c r="A14" s="2" t="s">
        <v>155</v>
      </c>
      <c r="B14" s="2">
        <v>9</v>
      </c>
      <c r="C14"/>
      <c r="D14"/>
      <c r="E14"/>
      <c r="F14"/>
      <c r="G14"/>
      <c r="H14" s="2" t="s">
        <v>3</v>
      </c>
      <c r="I14"/>
      <c r="J14"/>
      <c r="K14"/>
      <c r="L14"/>
      <c r="M14"/>
      <c r="N14"/>
      <c r="O14" s="13">
        <v>12345678901</v>
      </c>
      <c r="P14"/>
      <c r="Q14" s="2" t="s">
        <v>3</v>
      </c>
      <c r="R14" s="2" t="s">
        <v>1061</v>
      </c>
    </row>
    <row r="15" spans="1:19" x14ac:dyDescent="0.25">
      <c r="A15"/>
      <c r="B15" s="2">
        <v>9</v>
      </c>
      <c r="C15"/>
      <c r="D15"/>
      <c r="E15"/>
      <c r="F15"/>
      <c r="G15"/>
      <c r="H15" s="2" t="s">
        <v>3</v>
      </c>
      <c r="I15"/>
      <c r="J15"/>
      <c r="K15"/>
      <c r="L15"/>
      <c r="M15"/>
      <c r="N15"/>
      <c r="O15" s="13" t="s">
        <v>142</v>
      </c>
      <c r="P15"/>
      <c r="Q15" s="2" t="s">
        <v>3</v>
      </c>
      <c r="R15" s="2" t="s">
        <v>1061</v>
      </c>
      <c r="S15" s="14" t="s">
        <v>642</v>
      </c>
    </row>
    <row r="16" spans="1:19" x14ac:dyDescent="0.25">
      <c r="A16" s="2" t="s">
        <v>155</v>
      </c>
      <c r="B16" s="2">
        <v>9</v>
      </c>
      <c r="C16"/>
      <c r="D16"/>
      <c r="E16"/>
      <c r="F16"/>
      <c r="G16"/>
      <c r="H16" s="2" t="s">
        <v>3</v>
      </c>
      <c r="I16"/>
      <c r="J16"/>
      <c r="K16"/>
      <c r="L16"/>
      <c r="M16"/>
      <c r="N16"/>
      <c r="O16" s="13" t="s">
        <v>177</v>
      </c>
      <c r="P16"/>
      <c r="Q16" s="2" t="s">
        <v>3</v>
      </c>
      <c r="R16" s="2" t="s">
        <v>1061</v>
      </c>
    </row>
    <row r="17" spans="1:18" x14ac:dyDescent="0.25">
      <c r="A17" s="2" t="s">
        <v>178</v>
      </c>
      <c r="B17" s="2">
        <v>1</v>
      </c>
      <c r="C17"/>
      <c r="D17"/>
      <c r="E17"/>
      <c r="F17"/>
      <c r="G17"/>
      <c r="H17"/>
      <c r="I17"/>
      <c r="J17"/>
      <c r="K17"/>
      <c r="L17"/>
      <c r="M17"/>
      <c r="N17"/>
      <c r="O17"/>
      <c r="P17"/>
      <c r="Q17"/>
      <c r="R17" s="2" t="s">
        <v>183</v>
      </c>
    </row>
    <row r="18" spans="1:18" x14ac:dyDescent="0.25">
      <c r="A18" s="2" t="s">
        <v>178</v>
      </c>
      <c r="B18" s="2">
        <v>2</v>
      </c>
      <c r="C18"/>
      <c r="D18"/>
      <c r="E18"/>
      <c r="F18"/>
      <c r="G18"/>
      <c r="H18"/>
      <c r="I18"/>
      <c r="J18"/>
      <c r="K18"/>
      <c r="L18"/>
      <c r="M18"/>
      <c r="N18"/>
      <c r="O18"/>
      <c r="P18"/>
      <c r="Q18"/>
      <c r="R18" s="2" t="s">
        <v>184</v>
      </c>
    </row>
    <row r="19" spans="1:18" x14ac:dyDescent="0.25">
      <c r="A19" s="2" t="s">
        <v>194</v>
      </c>
      <c r="B19" s="2">
        <v>1</v>
      </c>
      <c r="C19"/>
      <c r="D19"/>
      <c r="E19"/>
      <c r="F19"/>
      <c r="G19"/>
      <c r="H19"/>
      <c r="I19"/>
      <c r="J19"/>
      <c r="K19"/>
      <c r="L19"/>
      <c r="M19"/>
      <c r="N19"/>
      <c r="O19"/>
      <c r="P19"/>
      <c r="Q19"/>
      <c r="R19" s="2" t="s">
        <v>197</v>
      </c>
    </row>
    <row r="20" spans="1:18" x14ac:dyDescent="0.25">
      <c r="A20" s="2" t="s">
        <v>240</v>
      </c>
      <c r="B20" s="2">
        <v>1</v>
      </c>
      <c r="C20"/>
      <c r="D20"/>
      <c r="E20"/>
      <c r="F20"/>
      <c r="G20"/>
      <c r="H20"/>
      <c r="I20"/>
      <c r="J20"/>
      <c r="K20"/>
      <c r="L20"/>
      <c r="M20"/>
      <c r="N20"/>
      <c r="O20"/>
      <c r="P20"/>
      <c r="Q20"/>
      <c r="R20" s="26" t="s">
        <v>345</v>
      </c>
    </row>
    <row r="21" spans="1:18" x14ac:dyDescent="0.25">
      <c r="A21"/>
      <c r="B21"/>
      <c r="C21"/>
      <c r="D21"/>
      <c r="E21"/>
      <c r="F21"/>
      <c r="G21"/>
      <c r="H21"/>
      <c r="I21"/>
      <c r="J21"/>
      <c r="K21"/>
      <c r="L21"/>
      <c r="M21"/>
      <c r="N21"/>
      <c r="O21"/>
      <c r="P21"/>
      <c r="Q21"/>
      <c r="R21" s="14" t="s">
        <v>252</v>
      </c>
    </row>
    <row r="26" spans="1:18" x14ac:dyDescent="0.25">
      <c r="A26"/>
      <c r="B26"/>
      <c r="C26"/>
      <c r="D26"/>
      <c r="E26"/>
      <c r="F26"/>
      <c r="G26"/>
      <c r="H26"/>
      <c r="I26"/>
      <c r="J26"/>
      <c r="K26"/>
      <c r="L26"/>
      <c r="M26"/>
      <c r="N26"/>
      <c r="O26"/>
      <c r="P26"/>
      <c r="Q26"/>
      <c r="R26" s="2" t="s">
        <v>261</v>
      </c>
    </row>
    <row r="27" spans="1:18" x14ac:dyDescent="0.25">
      <c r="A27"/>
      <c r="B27"/>
      <c r="C27"/>
      <c r="D27"/>
      <c r="E27"/>
      <c r="F27"/>
      <c r="G27"/>
      <c r="H27"/>
      <c r="I27"/>
      <c r="J27"/>
      <c r="K27"/>
      <c r="L27"/>
      <c r="M27"/>
      <c r="N27"/>
      <c r="O27"/>
      <c r="P27"/>
      <c r="Q27"/>
      <c r="R27" s="2" t="s">
        <v>262</v>
      </c>
    </row>
    <row r="28" spans="1:18" x14ac:dyDescent="0.25">
      <c r="A28"/>
      <c r="B28"/>
      <c r="C28"/>
      <c r="D28"/>
      <c r="E28"/>
      <c r="F28"/>
      <c r="G28"/>
      <c r="H28"/>
      <c r="I28"/>
      <c r="J28"/>
      <c r="K28"/>
      <c r="L28"/>
      <c r="M28"/>
      <c r="N28"/>
      <c r="O28"/>
      <c r="P28"/>
      <c r="Q28"/>
      <c r="R28" s="2" t="s">
        <v>263</v>
      </c>
    </row>
    <row r="29" spans="1:18" x14ac:dyDescent="0.25">
      <c r="A29"/>
      <c r="B29"/>
      <c r="C29"/>
      <c r="D29"/>
      <c r="E29"/>
      <c r="F29"/>
      <c r="G29"/>
      <c r="H29"/>
      <c r="I29"/>
      <c r="J29"/>
      <c r="K29"/>
      <c r="L29"/>
      <c r="M29"/>
      <c r="N29"/>
      <c r="O29"/>
      <c r="P29"/>
      <c r="Q29"/>
      <c r="R29" s="2" t="s">
        <v>264</v>
      </c>
    </row>
    <row r="30" spans="1:18" x14ac:dyDescent="0.25">
      <c r="A30"/>
      <c r="B30"/>
      <c r="C30"/>
      <c r="D30"/>
      <c r="E30"/>
      <c r="F30"/>
      <c r="G30"/>
      <c r="H30"/>
      <c r="I30"/>
      <c r="J30"/>
      <c r="K30"/>
      <c r="L30"/>
      <c r="M30"/>
      <c r="N30"/>
      <c r="O30"/>
      <c r="P30"/>
      <c r="Q30"/>
      <c r="R30" s="2" t="s">
        <v>265</v>
      </c>
    </row>
    <row r="31" spans="1:18" x14ac:dyDescent="0.25">
      <c r="A31"/>
      <c r="B31"/>
      <c r="C31"/>
      <c r="D31"/>
      <c r="E31"/>
      <c r="F31"/>
      <c r="G31"/>
      <c r="H31"/>
      <c r="I31"/>
      <c r="J31"/>
      <c r="K31"/>
      <c r="L31"/>
      <c r="M31"/>
      <c r="N31"/>
      <c r="O31"/>
      <c r="P31"/>
      <c r="Q31"/>
      <c r="R31" s="2" t="s">
        <v>265</v>
      </c>
    </row>
    <row r="32" spans="1:18" x14ac:dyDescent="0.25">
      <c r="A32"/>
      <c r="B32"/>
      <c r="C32"/>
      <c r="D32"/>
      <c r="E32"/>
      <c r="F32"/>
      <c r="G32"/>
      <c r="H32"/>
      <c r="I32"/>
      <c r="J32"/>
      <c r="K32"/>
      <c r="L32"/>
      <c r="M32"/>
      <c r="N32"/>
      <c r="O32"/>
      <c r="P32"/>
      <c r="Q32"/>
      <c r="R32" s="2" t="s">
        <v>265</v>
      </c>
    </row>
    <row r="33" spans="1:18" x14ac:dyDescent="0.25">
      <c r="A33"/>
      <c r="B33"/>
      <c r="C33"/>
      <c r="D33"/>
      <c r="E33"/>
      <c r="F33"/>
      <c r="G33"/>
      <c r="H33"/>
      <c r="I33"/>
      <c r="J33"/>
      <c r="K33"/>
      <c r="L33"/>
      <c r="M33"/>
      <c r="N33"/>
      <c r="O33"/>
      <c r="P33"/>
      <c r="Q33"/>
      <c r="R33" s="2" t="s">
        <v>265</v>
      </c>
    </row>
    <row r="37" spans="1:18" x14ac:dyDescent="0.25">
      <c r="A37"/>
      <c r="B37"/>
      <c r="C37"/>
      <c r="D37"/>
      <c r="E37"/>
      <c r="F37"/>
      <c r="G37"/>
      <c r="H37"/>
      <c r="I37"/>
      <c r="J37"/>
      <c r="K37"/>
      <c r="L37"/>
      <c r="M37"/>
      <c r="N37"/>
      <c r="O37"/>
      <c r="P37"/>
      <c r="Q37"/>
      <c r="R37" s="2" t="s">
        <v>198</v>
      </c>
    </row>
    <row r="38" spans="1:18" x14ac:dyDescent="0.25">
      <c r="A38"/>
      <c r="B38"/>
      <c r="C38"/>
      <c r="D38"/>
      <c r="E38"/>
      <c r="F38"/>
      <c r="G38"/>
      <c r="H38"/>
      <c r="I38"/>
      <c r="J38"/>
      <c r="K38"/>
      <c r="L38"/>
      <c r="M38"/>
      <c r="N38"/>
      <c r="O38"/>
      <c r="P38"/>
      <c r="Q38"/>
      <c r="R38" s="2" t="s">
        <v>201</v>
      </c>
    </row>
    <row r="39" spans="1:18" x14ac:dyDescent="0.25">
      <c r="A39"/>
      <c r="B39"/>
      <c r="C39"/>
      <c r="D39"/>
      <c r="E39"/>
      <c r="F39"/>
      <c r="G39"/>
      <c r="H39"/>
      <c r="I39"/>
      <c r="J39"/>
      <c r="K39"/>
      <c r="L39"/>
      <c r="M39"/>
      <c r="N39"/>
      <c r="O39"/>
      <c r="P39"/>
      <c r="Q39"/>
      <c r="R39" s="13" t="s">
        <v>167</v>
      </c>
    </row>
    <row r="40" spans="1:18" x14ac:dyDescent="0.25">
      <c r="A40"/>
      <c r="B40"/>
      <c r="C40"/>
      <c r="D40"/>
      <c r="E40"/>
      <c r="F40"/>
      <c r="G40"/>
      <c r="H40"/>
      <c r="I40"/>
      <c r="J40"/>
      <c r="K40"/>
      <c r="L40"/>
      <c r="M40"/>
      <c r="N40"/>
      <c r="O40"/>
      <c r="P40"/>
      <c r="Q40"/>
      <c r="R40" s="2" t="s">
        <v>166</v>
      </c>
    </row>
    <row r="41" spans="1:18" x14ac:dyDescent="0.25">
      <c r="A41"/>
      <c r="B41"/>
      <c r="C41"/>
      <c r="D41"/>
      <c r="E41"/>
      <c r="F41"/>
      <c r="G41"/>
      <c r="H41"/>
      <c r="I41"/>
      <c r="J41"/>
      <c r="K41"/>
      <c r="L41"/>
      <c r="M41"/>
      <c r="N41"/>
      <c r="O41"/>
      <c r="P41"/>
      <c r="Q41"/>
      <c r="R41" s="2" t="s">
        <v>169</v>
      </c>
    </row>
    <row r="42" spans="1:18" x14ac:dyDescent="0.25">
      <c r="A42"/>
      <c r="B42"/>
      <c r="C42"/>
      <c r="D42"/>
      <c r="E42"/>
      <c r="F42"/>
      <c r="G42"/>
      <c r="H42"/>
      <c r="I42"/>
      <c r="J42"/>
      <c r="K42"/>
      <c r="L42"/>
      <c r="M42"/>
      <c r="N42"/>
      <c r="O42"/>
      <c r="P42"/>
      <c r="Q42"/>
      <c r="R42" s="2" t="s">
        <v>173</v>
      </c>
    </row>
    <row r="43" spans="1:18" x14ac:dyDescent="0.25">
      <c r="A43"/>
      <c r="B43"/>
      <c r="C43"/>
      <c r="D43"/>
      <c r="E43"/>
      <c r="F43"/>
      <c r="G43"/>
      <c r="H43"/>
      <c r="I43"/>
      <c r="J43"/>
      <c r="K43"/>
      <c r="L43"/>
      <c r="M43"/>
      <c r="N43"/>
      <c r="O43"/>
      <c r="P43"/>
      <c r="Q43"/>
      <c r="R43" s="2" t="s">
        <v>314</v>
      </c>
    </row>
    <row r="44" spans="1:18" x14ac:dyDescent="0.25">
      <c r="A44"/>
      <c r="B44"/>
      <c r="C44"/>
      <c r="D44"/>
      <c r="E44"/>
      <c r="F44"/>
      <c r="G44"/>
      <c r="H44"/>
      <c r="I44"/>
      <c r="J44"/>
      <c r="K44"/>
      <c r="L44"/>
      <c r="M44"/>
      <c r="N44"/>
      <c r="O44"/>
      <c r="P44"/>
      <c r="Q44"/>
      <c r="R44" s="2" t="s">
        <v>315</v>
      </c>
    </row>
    <row r="45" spans="1:18" x14ac:dyDescent="0.25">
      <c r="A45"/>
      <c r="B45"/>
      <c r="C45"/>
      <c r="D45"/>
      <c r="E45"/>
      <c r="F45"/>
      <c r="G45"/>
      <c r="H45"/>
      <c r="I45"/>
      <c r="J45"/>
      <c r="K45"/>
      <c r="L45"/>
      <c r="M45"/>
      <c r="N45"/>
      <c r="O45"/>
      <c r="P45"/>
      <c r="Q45"/>
      <c r="R45" s="2" t="s">
        <v>316</v>
      </c>
    </row>
    <row r="46" spans="1:18" x14ac:dyDescent="0.25">
      <c r="A46"/>
      <c r="B46"/>
      <c r="C46"/>
      <c r="D46"/>
      <c r="E46"/>
      <c r="F46"/>
      <c r="G46"/>
      <c r="H46"/>
      <c r="I46"/>
      <c r="J46"/>
      <c r="K46"/>
      <c r="L46"/>
      <c r="M46"/>
      <c r="N46"/>
      <c r="O46"/>
      <c r="P46"/>
      <c r="Q46"/>
      <c r="R46" s="2" t="s">
        <v>317</v>
      </c>
    </row>
    <row r="47" spans="1:18" x14ac:dyDescent="0.25">
      <c r="A47"/>
      <c r="B47"/>
      <c r="C47"/>
      <c r="D47"/>
      <c r="E47"/>
      <c r="F47"/>
      <c r="G47"/>
      <c r="H47"/>
      <c r="I47"/>
      <c r="J47"/>
      <c r="K47"/>
      <c r="L47"/>
      <c r="M47"/>
      <c r="N47"/>
      <c r="O47"/>
      <c r="P47"/>
      <c r="Q47"/>
      <c r="R47" s="2" t="s">
        <v>265</v>
      </c>
    </row>
    <row r="48" spans="1:18" x14ac:dyDescent="0.25">
      <c r="A48"/>
      <c r="B48"/>
      <c r="C48"/>
      <c r="D48"/>
      <c r="E48"/>
      <c r="F48"/>
      <c r="G48"/>
      <c r="H48"/>
      <c r="I48"/>
      <c r="J48"/>
      <c r="K48"/>
      <c r="L48"/>
      <c r="M48"/>
      <c r="N48"/>
      <c r="O48"/>
      <c r="P48"/>
      <c r="Q48"/>
      <c r="R48" s="2" t="s">
        <v>265</v>
      </c>
    </row>
    <row r="49" spans="1:18" x14ac:dyDescent="0.25">
      <c r="A49"/>
      <c r="B49"/>
      <c r="C49"/>
      <c r="D49"/>
      <c r="E49"/>
      <c r="F49"/>
      <c r="G49"/>
      <c r="H49"/>
      <c r="I49"/>
      <c r="J49"/>
      <c r="K49"/>
      <c r="L49"/>
      <c r="M49"/>
      <c r="N49"/>
      <c r="O49"/>
      <c r="P49"/>
      <c r="Q49"/>
      <c r="R49" s="2" t="s">
        <v>265</v>
      </c>
    </row>
    <row r="50" spans="1:18" x14ac:dyDescent="0.25">
      <c r="A50"/>
      <c r="B50"/>
      <c r="C50"/>
      <c r="D50"/>
      <c r="E50"/>
      <c r="F50"/>
      <c r="G50"/>
      <c r="H50"/>
      <c r="I50"/>
      <c r="J50"/>
      <c r="K50"/>
      <c r="L50"/>
      <c r="M50"/>
      <c r="N50"/>
      <c r="O50"/>
      <c r="P50"/>
      <c r="Q50"/>
      <c r="R50" s="2" t="s">
        <v>265</v>
      </c>
    </row>
    <row r="51" spans="1:18" x14ac:dyDescent="0.25">
      <c r="A51"/>
      <c r="B51"/>
      <c r="C51"/>
      <c r="D51"/>
      <c r="E51"/>
      <c r="F51"/>
      <c r="G51"/>
      <c r="H51"/>
      <c r="I51"/>
      <c r="J51"/>
      <c r="K51"/>
      <c r="L51"/>
      <c r="M51"/>
      <c r="N51"/>
      <c r="O51"/>
      <c r="P51"/>
      <c r="Q51"/>
      <c r="R51" s="2" t="s">
        <v>183</v>
      </c>
    </row>
    <row r="52" spans="1:18" x14ac:dyDescent="0.25">
      <c r="A52"/>
      <c r="B52"/>
      <c r="C52"/>
      <c r="D52"/>
      <c r="E52"/>
      <c r="F52"/>
      <c r="G52"/>
      <c r="H52"/>
      <c r="I52"/>
      <c r="J52"/>
      <c r="K52"/>
      <c r="L52"/>
      <c r="M52"/>
      <c r="N52"/>
      <c r="O52"/>
      <c r="P52"/>
      <c r="Q52"/>
      <c r="R52" s="2" t="s">
        <v>184</v>
      </c>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S3"/>
  <sheetViews>
    <sheetView zoomScale="85" zoomScaleNormal="85" workbookViewId="0">
      <selection activeCell="A2" sqref="A2"/>
    </sheetView>
  </sheetViews>
  <sheetFormatPr defaultRowHeight="15" x14ac:dyDescent="0.25"/>
  <cols>
    <col min="1" max="1" width="4.140625" style="14" bestFit="1" customWidth="1" collapsed="1"/>
    <col min="2" max="2" width="8.7109375" style="14" bestFit="1" customWidth="1" collapsed="1"/>
    <col min="3" max="3" width="10.42578125" style="14" bestFit="1" customWidth="1" collapsed="1"/>
    <col min="4" max="4" width="14.85546875" style="14" bestFit="1" customWidth="1" collapsed="1"/>
    <col min="5" max="5" width="12.5703125" style="14" bestFit="1" customWidth="1" collapsed="1"/>
    <col min="6" max="6" width="12.42578125" style="14" bestFit="1" customWidth="1" collapsed="1"/>
    <col min="7" max="7" width="10.85546875" style="14" bestFit="1" customWidth="1" collapsed="1"/>
    <col min="8" max="8" width="16.28515625" style="14" bestFit="1" customWidth="1" collapsed="1"/>
    <col min="9" max="10" width="11" style="14" bestFit="1" customWidth="1" collapsed="1"/>
    <col min="11" max="11" width="13.28515625" style="14" bestFit="1" customWidth="1" collapsed="1"/>
    <col min="12" max="12" width="22.5703125" style="14" bestFit="1" customWidth="1" collapsed="1"/>
    <col min="13" max="13" width="20.140625" style="14" bestFit="1" customWidth="1" collapsed="1"/>
    <col min="14" max="14" width="15.5703125" style="14" bestFit="1" customWidth="1" collapsed="1"/>
    <col min="15" max="15" width="16.5703125" style="14" bestFit="1" customWidth="1" collapsed="1"/>
    <col min="16" max="16" width="19" style="14" bestFit="1" customWidth="1" collapsed="1"/>
    <col min="17" max="17" width="13.7109375" style="14" bestFit="1" customWidth="1" collapsed="1"/>
    <col min="18" max="18" width="22.5703125" style="14" bestFit="1" customWidth="1" collapsed="1"/>
    <col min="19" max="19" width="17.42578125" style="14" bestFit="1" customWidth="1" collapsed="1"/>
    <col min="20" max="16384" width="9.140625" style="14" collapsed="1"/>
  </cols>
  <sheetData>
    <row r="1" spans="1:19" x14ac:dyDescent="0.25">
      <c r="A1" s="4" t="s">
        <v>0</v>
      </c>
      <c r="B1" s="5" t="s">
        <v>20</v>
      </c>
      <c r="C1" s="5" t="s">
        <v>77</v>
      </c>
      <c r="D1" s="5" t="s">
        <v>322</v>
      </c>
      <c r="E1" s="5" t="s">
        <v>323</v>
      </c>
      <c r="F1" s="5" t="s">
        <v>324</v>
      </c>
      <c r="G1" s="5" t="s">
        <v>377</v>
      </c>
      <c r="H1" s="5" t="s">
        <v>378</v>
      </c>
      <c r="I1" s="5" t="s">
        <v>487</v>
      </c>
      <c r="J1" s="5" t="s">
        <v>488</v>
      </c>
      <c r="K1" s="5" t="s">
        <v>326</v>
      </c>
      <c r="L1" s="5" t="s">
        <v>359</v>
      </c>
      <c r="M1" s="5" t="s">
        <v>498</v>
      </c>
      <c r="N1" s="5" t="s">
        <v>357</v>
      </c>
      <c r="O1" s="5" t="s">
        <v>493</v>
      </c>
      <c r="P1" s="5" t="s">
        <v>504</v>
      </c>
      <c r="Q1" s="5" t="s">
        <v>505</v>
      </c>
      <c r="R1" s="5" t="s">
        <v>506</v>
      </c>
      <c r="S1" s="5" t="s">
        <v>331</v>
      </c>
    </row>
    <row r="2" spans="1:19" x14ac:dyDescent="0.25">
      <c r="A2" s="2" t="s">
        <v>574</v>
      </c>
      <c r="B2" s="2">
        <v>1</v>
      </c>
      <c r="C2" s="2" t="s">
        <v>3</v>
      </c>
      <c r="D2" s="2" t="s">
        <v>3</v>
      </c>
      <c r="E2" s="2" t="s">
        <v>3</v>
      </c>
      <c r="F2" s="2" t="s">
        <v>3</v>
      </c>
      <c r="G2" s="2"/>
      <c r="H2" s="2"/>
      <c r="I2" s="2" t="s">
        <v>328</v>
      </c>
      <c r="J2" s="2" t="s">
        <v>3</v>
      </c>
      <c r="K2" s="2" t="s">
        <v>3</v>
      </c>
      <c r="L2" s="2" t="s">
        <v>3</v>
      </c>
      <c r="M2" s="2"/>
      <c r="N2" s="2"/>
      <c r="O2" s="2"/>
      <c r="P2" s="2"/>
      <c r="Q2" s="2"/>
      <c r="R2" s="2"/>
      <c r="S2" s="2"/>
    </row>
    <row r="3" spans="1:19" x14ac:dyDescent="0.25">
      <c r="A3" s="2" t="s">
        <v>575</v>
      </c>
      <c r="B3" s="2">
        <v>1</v>
      </c>
      <c r="C3" s="2" t="s">
        <v>3</v>
      </c>
      <c r="D3" s="2" t="s">
        <v>3</v>
      </c>
      <c r="E3" s="2" t="s">
        <v>3</v>
      </c>
      <c r="F3" s="2" t="s">
        <v>3</v>
      </c>
      <c r="G3" s="2"/>
      <c r="H3" s="2"/>
      <c r="I3" s="2" t="s">
        <v>328</v>
      </c>
      <c r="J3" s="2"/>
      <c r="K3" s="2" t="s">
        <v>3</v>
      </c>
      <c r="L3" s="2"/>
      <c r="M3" s="2"/>
      <c r="N3" s="2"/>
      <c r="O3" s="2"/>
      <c r="P3" s="2"/>
      <c r="Q3" s="2"/>
      <c r="R3" s="2"/>
      <c r="S3" s="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J4"/>
  <sheetViews>
    <sheetView zoomScale="85" zoomScaleNormal="85" workbookViewId="0">
      <selection activeCell="A2" sqref="A2"/>
    </sheetView>
  </sheetViews>
  <sheetFormatPr defaultRowHeight="15" x14ac:dyDescent="0.25"/>
  <cols>
    <col min="1" max="1" width="5.140625" style="14" bestFit="1" customWidth="1" collapsed="1"/>
    <col min="2" max="2" width="8.7109375" style="14" bestFit="1" customWidth="1" collapsed="1"/>
    <col min="3" max="3" width="10.42578125" style="14" bestFit="1" customWidth="1" collapsed="1"/>
    <col min="4" max="4" width="26" style="14" bestFit="1" customWidth="1" collapsed="1"/>
    <col min="5" max="5" width="13.85546875" style="14" bestFit="1" customWidth="1" collapsed="1"/>
    <col min="6" max="6" width="15.5703125" style="14" bestFit="1" customWidth="1" collapsed="1"/>
    <col min="7" max="8" width="17.85546875" style="14" bestFit="1" customWidth="1" collapsed="1"/>
    <col min="9" max="9" width="21.85546875" style="14" bestFit="1" customWidth="1" collapsed="1"/>
    <col min="10" max="10" width="182.7109375" style="14" bestFit="1" customWidth="1" collapsed="1"/>
    <col min="11" max="16384" width="9.140625" style="14" collapsed="1"/>
  </cols>
  <sheetData>
    <row r="1" spans="1:10" x14ac:dyDescent="0.25">
      <c r="A1" s="9" t="s">
        <v>0</v>
      </c>
      <c r="B1" s="5" t="s">
        <v>20</v>
      </c>
      <c r="C1" s="5" t="s">
        <v>77</v>
      </c>
      <c r="D1" s="5" t="s">
        <v>360</v>
      </c>
      <c r="E1" s="5" t="s">
        <v>369</v>
      </c>
      <c r="F1" s="5" t="s">
        <v>357</v>
      </c>
      <c r="G1" s="5" t="s">
        <v>502</v>
      </c>
      <c r="H1" s="5" t="s">
        <v>499</v>
      </c>
      <c r="I1" s="5" t="s">
        <v>500</v>
      </c>
      <c r="J1" s="5" t="s">
        <v>364</v>
      </c>
    </row>
    <row r="2" spans="1:10" x14ac:dyDescent="0.25">
      <c r="A2" s="2" t="s">
        <v>574</v>
      </c>
      <c r="B2" s="2">
        <v>1</v>
      </c>
      <c r="C2" s="2"/>
      <c r="D2" s="2"/>
      <c r="E2" s="2"/>
      <c r="F2" s="2"/>
      <c r="G2" s="2"/>
      <c r="H2" s="2"/>
      <c r="I2" s="2"/>
      <c r="J2" s="2" t="s">
        <v>611</v>
      </c>
    </row>
    <row r="3" spans="1:10" x14ac:dyDescent="0.25">
      <c r="A3" s="2" t="s">
        <v>574</v>
      </c>
      <c r="B3" s="2">
        <v>2</v>
      </c>
      <c r="C3" s="2"/>
      <c r="D3" s="2"/>
      <c r="E3" s="2"/>
      <c r="F3" s="2" t="s">
        <v>3</v>
      </c>
      <c r="G3" s="2"/>
      <c r="H3" s="2"/>
      <c r="I3" s="2"/>
      <c r="J3" s="2"/>
    </row>
    <row r="4" spans="1:10" x14ac:dyDescent="0.25">
      <c r="A4" s="2" t="s">
        <v>575</v>
      </c>
      <c r="B4" s="2">
        <v>1</v>
      </c>
      <c r="C4" s="2"/>
      <c r="D4" s="2"/>
      <c r="E4" s="2"/>
      <c r="F4" s="2"/>
      <c r="G4" s="2"/>
      <c r="H4" s="2"/>
      <c r="I4" s="2"/>
      <c r="J4" s="2" t="s">
        <v>368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11"/>
  <sheetViews>
    <sheetView zoomScale="85" zoomScaleNormal="85" workbookViewId="0">
      <selection activeCell="D8" sqref="D8"/>
    </sheetView>
  </sheetViews>
  <sheetFormatPr defaultRowHeight="15" x14ac:dyDescent="0.25"/>
  <cols>
    <col min="1" max="1" width="5.140625" style="14" bestFit="1" customWidth="1" collapsed="1"/>
    <col min="2" max="2" width="9.140625" style="14" collapsed="1"/>
    <col min="3" max="3" width="12.28515625" style="14" bestFit="1" customWidth="1" collapsed="1"/>
    <col min="4" max="4" width="159.85546875" style="14" bestFit="1" customWidth="1" collapsed="1"/>
    <col min="5" max="16384" width="9.140625" style="14" collapsed="1"/>
  </cols>
  <sheetData>
    <row r="1" spans="1:4" s="1" customFormat="1" x14ac:dyDescent="0.25">
      <c r="A1" s="9" t="s">
        <v>0</v>
      </c>
      <c r="B1" s="5" t="s">
        <v>20</v>
      </c>
      <c r="C1" s="5" t="s">
        <v>541</v>
      </c>
      <c r="D1" s="5" t="s">
        <v>522</v>
      </c>
    </row>
    <row r="2" spans="1:4" s="1" customFormat="1" x14ac:dyDescent="0.25">
      <c r="A2" s="2" t="s">
        <v>508</v>
      </c>
      <c r="B2" s="6">
        <v>1</v>
      </c>
      <c r="C2" s="6"/>
      <c r="D2" s="6" t="s">
        <v>543</v>
      </c>
    </row>
    <row r="3" spans="1:4" s="1" customFormat="1" x14ac:dyDescent="0.25">
      <c r="A3" s="2" t="s">
        <v>525</v>
      </c>
      <c r="B3" s="6">
        <v>1</v>
      </c>
      <c r="C3" s="6"/>
      <c r="D3" s="6" t="s">
        <v>527</v>
      </c>
    </row>
    <row r="4" spans="1:4" s="1" customFormat="1" x14ac:dyDescent="0.25">
      <c r="A4" s="2" t="s">
        <v>528</v>
      </c>
      <c r="B4" s="6">
        <v>1</v>
      </c>
      <c r="C4" s="6"/>
      <c r="D4" s="6" t="s">
        <v>527</v>
      </c>
    </row>
    <row r="5" spans="1:4" s="1" customFormat="1" x14ac:dyDescent="0.25">
      <c r="A5" s="2" t="s">
        <v>529</v>
      </c>
      <c r="B5" s="6">
        <v>1</v>
      </c>
      <c r="C5" s="6"/>
      <c r="D5" s="6" t="s">
        <v>545</v>
      </c>
    </row>
    <row r="6" spans="1:4" s="1" customFormat="1" x14ac:dyDescent="0.25">
      <c r="A6" s="2" t="s">
        <v>530</v>
      </c>
      <c r="B6" s="6">
        <v>1</v>
      </c>
      <c r="C6" s="6"/>
      <c r="D6" s="6" t="s">
        <v>545</v>
      </c>
    </row>
    <row r="7" spans="1:4" s="1" customFormat="1" x14ac:dyDescent="0.25">
      <c r="A7" s="2" t="s">
        <v>531</v>
      </c>
      <c r="B7" s="6">
        <v>1</v>
      </c>
      <c r="C7" s="6"/>
      <c r="D7" s="6" t="s">
        <v>1063</v>
      </c>
    </row>
    <row r="8" spans="1:4" s="1" customFormat="1" x14ac:dyDescent="0.25">
      <c r="A8" s="2" t="s">
        <v>532</v>
      </c>
      <c r="B8" s="6">
        <v>1</v>
      </c>
      <c r="C8" s="6"/>
      <c r="D8" s="6" t="s">
        <v>567</v>
      </c>
    </row>
    <row r="9" spans="1:4" s="1" customFormat="1" x14ac:dyDescent="0.25">
      <c r="A9" s="2" t="s">
        <v>533</v>
      </c>
      <c r="B9" s="6">
        <v>1</v>
      </c>
      <c r="C9" s="6"/>
      <c r="D9" s="6" t="s">
        <v>562</v>
      </c>
    </row>
    <row r="10" spans="1:4" s="1" customFormat="1" x14ac:dyDescent="0.25">
      <c r="A10" s="2" t="s">
        <v>534</v>
      </c>
      <c r="B10" s="6">
        <v>1</v>
      </c>
      <c r="C10" s="6"/>
      <c r="D10" s="6" t="s">
        <v>571</v>
      </c>
    </row>
    <row r="11" spans="1:4" s="1" customFormat="1" x14ac:dyDescent="0.25">
      <c r="A11" s="2" t="s">
        <v>535</v>
      </c>
      <c r="B11" s="6">
        <v>1</v>
      </c>
      <c r="C11" s="6"/>
      <c r="D11" s="6" t="s">
        <v>551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6"/>
  <sheetViews>
    <sheetView zoomScale="85" zoomScaleNormal="85" workbookViewId="0">
      <selection activeCell="E15" sqref="E15"/>
    </sheetView>
  </sheetViews>
  <sheetFormatPr defaultRowHeight="15" x14ac:dyDescent="0.25"/>
  <cols>
    <col min="1" max="1" width="5.140625" style="14" bestFit="1" customWidth="1" collapsed="1"/>
    <col min="2" max="2" width="8.7109375" style="14" bestFit="1" customWidth="1" collapsed="1"/>
    <col min="3" max="4" width="16.7109375" style="14" customWidth="1" collapsed="1"/>
    <col min="5" max="5" width="18.140625" style="14" bestFit="1" customWidth="1" collapsed="1"/>
    <col min="6" max="6" width="21.7109375" style="14" bestFit="1" customWidth="1" collapsed="1"/>
    <col min="7" max="7" width="13.140625" style="14" customWidth="1" collapsed="1"/>
    <col min="8" max="9" width="16.7109375" style="14" bestFit="1" customWidth="1" collapsed="1"/>
    <col min="10" max="10" width="9.140625" style="14" collapsed="1"/>
    <col min="11" max="11" width="14.5703125" style="14" bestFit="1" customWidth="1" collapsed="1"/>
    <col min="12" max="12" width="15.5703125" style="14" bestFit="1" customWidth="1" collapsed="1"/>
    <col min="13" max="13" width="15.5703125" style="14" customWidth="1" collapsed="1"/>
    <col min="14" max="15" width="9.85546875" style="14" customWidth="1" collapsed="1"/>
    <col min="16" max="16" width="9.85546875" style="14" bestFit="1" customWidth="1" collapsed="1"/>
    <col min="17" max="17" width="40" style="14" bestFit="1" customWidth="1" collapsed="1"/>
    <col min="18" max="18" width="11.42578125" style="14" bestFit="1" customWidth="1" collapsed="1"/>
    <col min="19" max="19" width="13.42578125" style="14" bestFit="1" customWidth="1" collapsed="1"/>
    <col min="20" max="20" width="16.42578125" style="14" bestFit="1" customWidth="1" collapsed="1"/>
    <col min="21" max="21" width="13.140625" style="14" bestFit="1" customWidth="1" collapsed="1"/>
    <col min="22" max="22" width="13.140625" style="14" customWidth="1" collapsed="1"/>
    <col min="23" max="23" width="17.28515625" style="14" bestFit="1" customWidth="1" collapsed="1"/>
    <col min="24" max="24" width="17.28515625" style="14" customWidth="1" collapsed="1"/>
    <col min="25" max="25" width="22.28515625" style="14" bestFit="1" customWidth="1" collapsed="1"/>
    <col min="26" max="26" width="12.28515625" style="14" bestFit="1" customWidth="1" collapsed="1"/>
    <col min="27" max="27" width="17.28515625" style="14" bestFit="1" customWidth="1" collapsed="1"/>
    <col min="28" max="28" width="80.28515625" style="14" bestFit="1" customWidth="1" collapsed="1"/>
    <col min="29" max="16384" width="9.140625" style="14" collapsed="1"/>
  </cols>
  <sheetData>
    <row r="1" spans="1:28" s="1" customFormat="1" x14ac:dyDescent="0.25">
      <c r="A1" s="9" t="s">
        <v>0</v>
      </c>
      <c r="B1" s="5" t="s">
        <v>20</v>
      </c>
      <c r="C1" s="5" t="s">
        <v>511</v>
      </c>
      <c r="D1" s="5" t="s">
        <v>1036</v>
      </c>
      <c r="E1" s="5" t="s">
        <v>512</v>
      </c>
      <c r="F1" s="5" t="s">
        <v>513</v>
      </c>
      <c r="G1" s="9" t="s">
        <v>544</v>
      </c>
      <c r="H1" s="9" t="s">
        <v>547</v>
      </c>
      <c r="I1" s="9" t="s">
        <v>514</v>
      </c>
      <c r="J1" s="23" t="s">
        <v>515</v>
      </c>
      <c r="K1" s="23" t="s">
        <v>516</v>
      </c>
      <c r="L1" s="9" t="s">
        <v>557</v>
      </c>
      <c r="M1" s="9" t="s">
        <v>565</v>
      </c>
      <c r="N1" s="9" t="s">
        <v>558</v>
      </c>
      <c r="O1" s="9" t="s">
        <v>560</v>
      </c>
      <c r="P1" s="9" t="s">
        <v>519</v>
      </c>
      <c r="Q1" s="9" t="s">
        <v>521</v>
      </c>
      <c r="R1" s="9" t="s">
        <v>570</v>
      </c>
      <c r="S1" s="9" t="s">
        <v>569</v>
      </c>
      <c r="T1" s="9" t="s">
        <v>548</v>
      </c>
      <c r="U1" s="9" t="s">
        <v>523</v>
      </c>
      <c r="V1" s="9" t="s">
        <v>553</v>
      </c>
      <c r="W1" s="9" t="s">
        <v>526</v>
      </c>
      <c r="X1" s="9" t="s">
        <v>549</v>
      </c>
      <c r="Y1" s="9" t="s">
        <v>540</v>
      </c>
      <c r="Z1" s="5" t="s">
        <v>541</v>
      </c>
      <c r="AA1" s="9" t="s">
        <v>524</v>
      </c>
      <c r="AB1" s="9" t="s">
        <v>522</v>
      </c>
    </row>
    <row r="2" spans="1:28" s="1" customFormat="1" x14ac:dyDescent="0.25">
      <c r="A2" s="2" t="s">
        <v>508</v>
      </c>
      <c r="B2" s="6">
        <v>1</v>
      </c>
      <c r="C2" s="6" t="s">
        <v>3</v>
      </c>
      <c r="D2" s="6" t="s">
        <v>3</v>
      </c>
      <c r="E2" s="6"/>
      <c r="F2" s="6" t="s">
        <v>3</v>
      </c>
      <c r="G2" s="2"/>
      <c r="H2" s="2"/>
      <c r="I2" s="6" t="s">
        <v>330</v>
      </c>
      <c r="J2" s="2" t="s">
        <v>518</v>
      </c>
      <c r="K2" s="2" t="s">
        <v>517</v>
      </c>
      <c r="L2" s="2" t="s">
        <v>3</v>
      </c>
      <c r="M2" s="2" t="s">
        <v>566</v>
      </c>
      <c r="N2" s="2" t="s">
        <v>559</v>
      </c>
      <c r="O2" s="2" t="s">
        <v>561</v>
      </c>
      <c r="P2" s="2" t="s">
        <v>3</v>
      </c>
      <c r="Q2" s="2" t="s">
        <v>520</v>
      </c>
      <c r="R2" s="2"/>
      <c r="S2" s="2"/>
      <c r="T2" s="2"/>
      <c r="U2" s="2" t="s">
        <v>3</v>
      </c>
      <c r="V2" s="2"/>
      <c r="W2" s="2"/>
      <c r="X2" s="2"/>
      <c r="Y2" s="2"/>
      <c r="Z2" s="2"/>
      <c r="AA2" s="2" t="s">
        <v>3</v>
      </c>
      <c r="AB2" s="2"/>
    </row>
    <row r="3" spans="1:28" s="1" customFormat="1" x14ac:dyDescent="0.25">
      <c r="A3" s="2" t="s">
        <v>525</v>
      </c>
      <c r="B3" s="6">
        <v>1</v>
      </c>
      <c r="C3" s="6" t="s">
        <v>3</v>
      </c>
      <c r="D3" s="6" t="s">
        <v>3</v>
      </c>
      <c r="E3" s="6"/>
      <c r="F3" s="6" t="s">
        <v>3</v>
      </c>
      <c r="G3" s="2"/>
      <c r="H3" s="2"/>
      <c r="I3" s="6"/>
      <c r="J3" s="2"/>
      <c r="K3" s="2"/>
      <c r="L3" s="2"/>
      <c r="M3" s="2"/>
      <c r="N3" s="2"/>
      <c r="O3" s="2"/>
      <c r="P3" s="2"/>
      <c r="Q3" s="2"/>
      <c r="R3" s="2"/>
      <c r="S3" s="2"/>
      <c r="T3" s="2"/>
      <c r="U3" s="2"/>
      <c r="V3" s="2"/>
      <c r="W3" s="2" t="s">
        <v>3</v>
      </c>
      <c r="X3" s="2"/>
      <c r="Y3" s="2"/>
      <c r="Z3" s="2"/>
      <c r="AA3" s="2"/>
      <c r="AB3" s="2"/>
    </row>
    <row r="4" spans="1:28" s="1" customFormat="1" x14ac:dyDescent="0.25">
      <c r="A4" s="2" t="s">
        <v>528</v>
      </c>
      <c r="B4" s="6">
        <v>1</v>
      </c>
      <c r="C4" s="6" t="s">
        <v>3</v>
      </c>
      <c r="D4" s="6" t="s">
        <v>3</v>
      </c>
      <c r="E4" s="6"/>
      <c r="F4" s="6" t="s">
        <v>3</v>
      </c>
      <c r="G4" s="2"/>
      <c r="H4" s="2"/>
      <c r="I4" s="6"/>
      <c r="J4" s="2"/>
      <c r="K4" s="2"/>
      <c r="L4" s="2"/>
      <c r="M4" s="2"/>
      <c r="N4" s="2"/>
      <c r="O4" s="2"/>
      <c r="P4" s="2"/>
      <c r="Q4" s="2"/>
      <c r="R4" s="2"/>
      <c r="S4" s="2"/>
      <c r="T4" s="2"/>
      <c r="U4" s="2"/>
      <c r="V4" s="2"/>
      <c r="W4" s="2"/>
      <c r="X4" s="2"/>
      <c r="Y4" s="2" t="s">
        <v>3</v>
      </c>
      <c r="Z4" s="2"/>
      <c r="AA4" s="2"/>
      <c r="AB4" s="2"/>
    </row>
    <row r="5" spans="1:28" s="1" customFormat="1" x14ac:dyDescent="0.25">
      <c r="A5" s="2" t="s">
        <v>529</v>
      </c>
      <c r="B5" s="6">
        <v>1</v>
      </c>
      <c r="C5" s="6" t="s">
        <v>3</v>
      </c>
      <c r="D5" s="6" t="s">
        <v>3</v>
      </c>
      <c r="E5" s="6"/>
      <c r="F5" s="6"/>
      <c r="G5" s="2"/>
      <c r="H5" s="2"/>
      <c r="I5" s="6"/>
      <c r="J5" s="2"/>
      <c r="K5" s="2"/>
      <c r="L5" s="2"/>
      <c r="M5" s="2"/>
      <c r="N5" s="2"/>
      <c r="O5" s="2"/>
      <c r="P5" s="2"/>
      <c r="Q5" s="2"/>
      <c r="R5" s="2"/>
      <c r="S5" s="2"/>
      <c r="T5" s="2"/>
      <c r="U5" s="2"/>
      <c r="V5" s="2"/>
      <c r="W5" s="2"/>
      <c r="X5" s="2"/>
      <c r="Y5" s="2"/>
      <c r="Z5" s="2"/>
      <c r="AA5" s="2" t="s">
        <v>3</v>
      </c>
      <c r="AB5" s="2" t="s">
        <v>554</v>
      </c>
    </row>
    <row r="6" spans="1:28" s="1" customFormat="1" x14ac:dyDescent="0.25">
      <c r="A6" s="2" t="s">
        <v>529</v>
      </c>
      <c r="B6" s="6">
        <v>2</v>
      </c>
      <c r="C6" s="6"/>
      <c r="D6" s="6"/>
      <c r="E6" s="6"/>
      <c r="F6" s="6"/>
      <c r="G6" s="2" t="s">
        <v>3</v>
      </c>
      <c r="H6" s="6" t="s">
        <v>550</v>
      </c>
      <c r="I6" s="6"/>
      <c r="J6" s="2"/>
      <c r="K6" s="2"/>
      <c r="L6" s="2"/>
      <c r="M6" s="2"/>
      <c r="N6" s="2"/>
      <c r="O6" s="2"/>
      <c r="P6" s="2"/>
      <c r="Q6" s="2"/>
      <c r="R6" s="2"/>
      <c r="S6" s="2"/>
      <c r="T6" s="2" t="s">
        <v>3</v>
      </c>
      <c r="U6" s="2"/>
      <c r="V6" s="2"/>
      <c r="W6" s="2"/>
      <c r="X6" s="2" t="s">
        <v>3</v>
      </c>
      <c r="Y6" s="2"/>
      <c r="Z6" s="2"/>
      <c r="AA6" s="2" t="s">
        <v>3</v>
      </c>
      <c r="AB6" s="2"/>
    </row>
    <row r="7" spans="1:28" s="1" customFormat="1" x14ac:dyDescent="0.25">
      <c r="A7" s="2" t="s">
        <v>530</v>
      </c>
      <c r="B7" s="6">
        <v>1</v>
      </c>
      <c r="C7" s="6" t="s">
        <v>3</v>
      </c>
      <c r="D7" s="6" t="s">
        <v>3</v>
      </c>
      <c r="E7" s="6"/>
      <c r="F7" s="6"/>
      <c r="G7" s="2"/>
      <c r="H7" s="2"/>
      <c r="I7" s="6"/>
      <c r="J7" s="2"/>
      <c r="K7" s="2"/>
      <c r="L7" s="2"/>
      <c r="M7" s="2"/>
      <c r="N7" s="2"/>
      <c r="O7" s="2"/>
      <c r="P7" s="2"/>
      <c r="Q7" s="2"/>
      <c r="R7" s="2"/>
      <c r="S7" s="2"/>
      <c r="T7" s="2"/>
      <c r="U7" s="2"/>
      <c r="V7" s="2"/>
      <c r="W7" s="2"/>
      <c r="X7" s="2"/>
      <c r="Y7" s="2"/>
      <c r="Z7" s="2"/>
      <c r="AA7" s="2" t="s">
        <v>3</v>
      </c>
      <c r="AB7" s="2" t="s">
        <v>572</v>
      </c>
    </row>
    <row r="8" spans="1:28" s="1" customFormat="1" x14ac:dyDescent="0.25">
      <c r="A8" s="2" t="s">
        <v>530</v>
      </c>
      <c r="B8" s="6">
        <v>2</v>
      </c>
      <c r="C8" s="6"/>
      <c r="D8" s="6"/>
      <c r="E8" s="6"/>
      <c r="F8" s="6"/>
      <c r="G8" s="2" t="s">
        <v>3</v>
      </c>
      <c r="H8" s="6" t="s">
        <v>552</v>
      </c>
      <c r="I8" s="6"/>
      <c r="J8" s="2"/>
      <c r="K8" s="2"/>
      <c r="L8" s="2"/>
      <c r="M8" s="2"/>
      <c r="N8" s="2"/>
      <c r="O8" s="2"/>
      <c r="P8" s="2"/>
      <c r="Q8" s="2"/>
      <c r="R8" s="2"/>
      <c r="S8" s="2"/>
      <c r="T8" s="2"/>
      <c r="U8" s="2"/>
      <c r="V8" s="2" t="s">
        <v>3</v>
      </c>
      <c r="W8" s="2"/>
      <c r="X8" s="2" t="s">
        <v>3</v>
      </c>
      <c r="Y8" s="2"/>
      <c r="Z8" s="2"/>
      <c r="AA8" s="2" t="s">
        <v>3</v>
      </c>
      <c r="AB8" s="2"/>
    </row>
    <row r="9" spans="1:28" s="1" customFormat="1" x14ac:dyDescent="0.25">
      <c r="A9" s="2" t="s">
        <v>531</v>
      </c>
      <c r="B9" s="6">
        <v>1</v>
      </c>
      <c r="C9" s="6" t="s">
        <v>3</v>
      </c>
      <c r="D9" s="6" t="s">
        <v>3</v>
      </c>
      <c r="E9" s="6"/>
      <c r="F9" s="6" t="s">
        <v>3</v>
      </c>
      <c r="G9" s="2"/>
      <c r="H9" s="6"/>
      <c r="I9" s="6"/>
      <c r="J9" s="2"/>
      <c r="K9" s="2"/>
      <c r="L9" s="2"/>
      <c r="M9" s="2"/>
      <c r="N9" s="2"/>
      <c r="O9" s="2"/>
      <c r="P9" s="2"/>
      <c r="Q9" s="2"/>
      <c r="R9" s="2"/>
      <c r="S9" s="2"/>
      <c r="T9" s="2"/>
      <c r="U9" s="2" t="s">
        <v>3</v>
      </c>
      <c r="V9" s="2"/>
      <c r="W9" s="2"/>
      <c r="X9" s="2"/>
      <c r="Y9" s="2"/>
      <c r="Z9" s="2"/>
      <c r="AA9" s="2"/>
      <c r="AB9" s="2"/>
    </row>
    <row r="10" spans="1:28" s="1" customFormat="1" x14ac:dyDescent="0.25">
      <c r="A10" s="2" t="s">
        <v>532</v>
      </c>
      <c r="B10" s="6">
        <v>1</v>
      </c>
      <c r="C10" s="6" t="s">
        <v>3</v>
      </c>
      <c r="D10" s="6" t="s">
        <v>3</v>
      </c>
      <c r="E10" s="6"/>
      <c r="F10" s="6"/>
      <c r="G10" s="2"/>
      <c r="H10" s="6"/>
      <c r="I10" s="6"/>
      <c r="J10" s="2"/>
      <c r="K10" s="2"/>
      <c r="L10" s="2"/>
      <c r="M10" s="2"/>
      <c r="N10" s="2"/>
      <c r="O10" s="2"/>
      <c r="P10" s="2"/>
      <c r="Q10" s="2"/>
      <c r="R10" s="2"/>
      <c r="S10" s="2"/>
      <c r="T10" s="2"/>
      <c r="U10" s="2"/>
      <c r="V10" s="2"/>
      <c r="W10" s="2"/>
      <c r="X10" s="2"/>
      <c r="Y10" s="2"/>
      <c r="Z10" s="2"/>
      <c r="AA10" s="2" t="s">
        <v>3</v>
      </c>
      <c r="AB10" s="2" t="s">
        <v>572</v>
      </c>
    </row>
    <row r="11" spans="1:28" s="1" customFormat="1" x14ac:dyDescent="0.25">
      <c r="A11" s="2" t="s">
        <v>533</v>
      </c>
      <c r="B11" s="6">
        <v>1</v>
      </c>
      <c r="C11" s="6" t="s">
        <v>3</v>
      </c>
      <c r="D11" s="6" t="s">
        <v>3</v>
      </c>
      <c r="E11" s="6"/>
      <c r="F11" s="6"/>
      <c r="G11" s="2"/>
      <c r="H11" s="6"/>
      <c r="I11" s="6"/>
      <c r="J11" s="2"/>
      <c r="K11" s="2"/>
      <c r="L11" s="2"/>
      <c r="M11" s="2"/>
      <c r="N11" s="2"/>
      <c r="O11" s="2"/>
      <c r="P11" s="2"/>
      <c r="Q11" s="2"/>
      <c r="R11" s="2"/>
      <c r="S11" s="2"/>
      <c r="T11" s="2"/>
      <c r="U11" s="2"/>
      <c r="V11" s="2"/>
      <c r="W11" s="2"/>
      <c r="X11" s="2"/>
      <c r="Y11" s="2"/>
      <c r="Z11" s="2"/>
      <c r="AA11" s="2" t="s">
        <v>3</v>
      </c>
      <c r="AB11" s="2" t="s">
        <v>572</v>
      </c>
    </row>
    <row r="12" spans="1:28" s="1" customFormat="1" x14ac:dyDescent="0.25">
      <c r="A12" s="2" t="s">
        <v>534</v>
      </c>
      <c r="B12" s="6">
        <v>1</v>
      </c>
      <c r="C12" s="6" t="s">
        <v>3</v>
      </c>
      <c r="D12" s="6" t="s">
        <v>3</v>
      </c>
      <c r="E12" s="6"/>
      <c r="F12" s="6"/>
      <c r="G12" s="2"/>
      <c r="H12" s="6"/>
      <c r="I12" s="6"/>
      <c r="J12" s="2"/>
      <c r="K12" s="2"/>
      <c r="L12" s="2"/>
      <c r="M12" s="2"/>
      <c r="N12" s="2"/>
      <c r="O12" s="2"/>
      <c r="P12" s="2"/>
      <c r="Q12" s="2"/>
      <c r="R12" s="2"/>
      <c r="S12" s="2"/>
      <c r="T12" s="2"/>
      <c r="U12" s="2"/>
      <c r="V12" s="2"/>
      <c r="W12" s="2"/>
      <c r="X12" s="2"/>
      <c r="Y12" s="2"/>
      <c r="Z12" s="2"/>
      <c r="AA12" s="2" t="s">
        <v>3</v>
      </c>
      <c r="AB12" s="2" t="s">
        <v>572</v>
      </c>
    </row>
    <row r="13" spans="1:28" s="1" customFormat="1" x14ac:dyDescent="0.25">
      <c r="A13" s="2" t="s">
        <v>534</v>
      </c>
      <c r="B13" s="6">
        <v>2</v>
      </c>
      <c r="C13" s="6"/>
      <c r="D13" s="6"/>
      <c r="E13" s="6"/>
      <c r="F13" s="6"/>
      <c r="G13" s="2" t="s">
        <v>3</v>
      </c>
      <c r="H13" s="6"/>
      <c r="I13" s="6"/>
      <c r="J13" s="2"/>
      <c r="K13" s="2"/>
      <c r="L13" s="2"/>
      <c r="M13" s="2"/>
      <c r="N13" s="2"/>
      <c r="O13" s="2"/>
      <c r="P13" s="2"/>
      <c r="Q13" s="2"/>
      <c r="R13" s="2" t="s">
        <v>3</v>
      </c>
      <c r="S13" s="2" t="s">
        <v>3</v>
      </c>
      <c r="T13" s="2" t="s">
        <v>3</v>
      </c>
      <c r="U13" s="2"/>
      <c r="V13" s="2"/>
      <c r="W13" s="2"/>
      <c r="X13" s="2"/>
      <c r="Y13" s="2"/>
      <c r="Z13" s="2"/>
      <c r="AA13" s="2"/>
      <c r="AB13" s="2"/>
    </row>
    <row r="14" spans="1:28" s="1" customFormat="1" x14ac:dyDescent="0.25">
      <c r="A14" s="2" t="s">
        <v>534</v>
      </c>
      <c r="B14" s="6">
        <v>3</v>
      </c>
      <c r="C14" s="6" t="s">
        <v>3</v>
      </c>
      <c r="D14" s="6" t="s">
        <v>3</v>
      </c>
      <c r="E14" s="6"/>
      <c r="F14" s="6"/>
      <c r="G14" s="2"/>
      <c r="H14" s="6"/>
      <c r="I14" s="6"/>
      <c r="J14" s="2"/>
      <c r="K14" s="2"/>
      <c r="L14" s="2"/>
      <c r="M14" s="2"/>
      <c r="N14" s="2"/>
      <c r="O14" s="2"/>
      <c r="P14" s="2"/>
      <c r="Q14" s="2"/>
      <c r="R14" s="2"/>
      <c r="S14" s="2"/>
      <c r="T14" s="2"/>
      <c r="U14" s="2"/>
      <c r="V14" s="2"/>
      <c r="W14" s="2"/>
      <c r="X14" s="2"/>
      <c r="Y14" s="2"/>
      <c r="Z14" s="2"/>
      <c r="AA14" s="2" t="s">
        <v>3</v>
      </c>
      <c r="AB14" s="2" t="s">
        <v>572</v>
      </c>
    </row>
    <row r="15" spans="1:28" s="1" customFormat="1" x14ac:dyDescent="0.25">
      <c r="A15" s="2" t="s">
        <v>535</v>
      </c>
      <c r="B15" s="6">
        <v>1</v>
      </c>
      <c r="C15" s="6" t="s">
        <v>3</v>
      </c>
      <c r="D15" s="6" t="s">
        <v>3</v>
      </c>
      <c r="E15" s="6"/>
      <c r="F15" s="6"/>
      <c r="G15" s="2"/>
      <c r="H15" s="2"/>
      <c r="I15" s="6"/>
      <c r="J15" s="2"/>
      <c r="K15" s="2"/>
      <c r="L15" s="2"/>
      <c r="M15" s="2"/>
      <c r="N15" s="2"/>
      <c r="O15" s="2"/>
      <c r="P15" s="2"/>
      <c r="Q15" s="2"/>
      <c r="R15" s="2"/>
      <c r="S15" s="2"/>
      <c r="T15" s="2"/>
      <c r="U15" s="2"/>
      <c r="V15" s="2"/>
      <c r="W15" s="2"/>
      <c r="X15" s="2"/>
      <c r="Y15" s="2"/>
      <c r="Z15" s="2"/>
      <c r="AA15" s="2" t="s">
        <v>3</v>
      </c>
      <c r="AB15" s="2" t="s">
        <v>573</v>
      </c>
    </row>
    <row r="16" spans="1:28" s="1" customFormat="1" x14ac:dyDescent="0.25">
      <c r="A16" s="2" t="s">
        <v>535</v>
      </c>
      <c r="B16" s="6">
        <v>2</v>
      </c>
      <c r="C16" s="6"/>
      <c r="D16" s="6"/>
      <c r="E16" s="6"/>
      <c r="F16" s="6"/>
      <c r="G16" s="2"/>
      <c r="H16" s="2"/>
      <c r="I16" s="6"/>
      <c r="J16" s="2"/>
      <c r="K16" s="2"/>
      <c r="L16" s="2"/>
      <c r="M16" s="2"/>
      <c r="N16" s="2"/>
      <c r="O16" s="2"/>
      <c r="P16" s="2"/>
      <c r="Q16" s="2"/>
      <c r="R16" s="2"/>
      <c r="S16" s="2"/>
      <c r="T16" s="2"/>
      <c r="U16" s="2"/>
      <c r="V16" s="2"/>
      <c r="W16" s="2"/>
      <c r="X16" s="2"/>
      <c r="Y16" s="2"/>
      <c r="Z16" s="2" t="s">
        <v>3</v>
      </c>
      <c r="AA16" s="2"/>
      <c r="AB16" s="2"/>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26"/>
  <sheetViews>
    <sheetView zoomScale="85" zoomScaleNormal="85" workbookViewId="0">
      <selection activeCell="A26" sqref="A26"/>
    </sheetView>
  </sheetViews>
  <sheetFormatPr defaultRowHeight="15" x14ac:dyDescent="0.25"/>
  <cols>
    <col min="1" max="1" width="7.140625" style="14" bestFit="1" customWidth="1" collapsed="1"/>
    <col min="2" max="2" width="8.7109375" style="14" bestFit="1" customWidth="1" collapsed="1"/>
    <col min="3" max="3" width="10.42578125" style="14" bestFit="1" customWidth="1" collapsed="1"/>
    <col min="4" max="4" width="14.85546875" style="14" bestFit="1" customWidth="1" collapsed="1"/>
    <col min="5" max="5" width="12.5703125" style="14" bestFit="1" customWidth="1" collapsed="1"/>
    <col min="6" max="6" width="16" style="14" bestFit="1" customWidth="1" collapsed="1"/>
    <col min="7" max="7" width="10.85546875" style="14" bestFit="1" customWidth="1" collapsed="1"/>
    <col min="8" max="10" width="10.85546875" style="14" customWidth="1" collapsed="1"/>
    <col min="11" max="11" width="11" style="14" bestFit="1" customWidth="1" collapsed="1"/>
    <col min="12" max="12" width="11.85546875" style="14" bestFit="1" customWidth="1" collapsed="1"/>
    <col min="13" max="25" width="11.85546875" style="14" customWidth="1" collapsed="1"/>
    <col min="26" max="26" width="13.28515625" style="14" bestFit="1" customWidth="1" collapsed="1"/>
    <col min="27" max="35" width="13.28515625" style="14" customWidth="1" collapsed="1"/>
    <col min="36" max="36" width="182.7109375" style="14" bestFit="1" customWidth="1" collapsed="1"/>
    <col min="37" max="16384" width="9.140625" style="14" collapsed="1"/>
  </cols>
  <sheetData>
    <row r="1" spans="1:36" x14ac:dyDescent="0.25">
      <c r="A1" s="4" t="s">
        <v>0</v>
      </c>
      <c r="B1" s="5" t="s">
        <v>20</v>
      </c>
      <c r="C1" s="5" t="s">
        <v>77</v>
      </c>
      <c r="D1" s="5" t="s">
        <v>322</v>
      </c>
      <c r="E1" s="5" t="s">
        <v>323</v>
      </c>
      <c r="F1" s="5" t="s">
        <v>324</v>
      </c>
      <c r="G1" s="5" t="s">
        <v>377</v>
      </c>
      <c r="H1" s="5" t="s">
        <v>378</v>
      </c>
      <c r="I1" s="5" t="s">
        <v>1016</v>
      </c>
      <c r="J1" s="5" t="s">
        <v>1017</v>
      </c>
      <c r="K1" s="5" t="s">
        <v>487</v>
      </c>
      <c r="L1" s="5" t="s">
        <v>488</v>
      </c>
      <c r="M1" s="5" t="s">
        <v>778</v>
      </c>
      <c r="N1" s="5" t="s">
        <v>779</v>
      </c>
      <c r="O1" s="5" t="s">
        <v>872</v>
      </c>
      <c r="P1" s="5" t="s">
        <v>780</v>
      </c>
      <c r="Q1" s="5" t="s">
        <v>783</v>
      </c>
      <c r="R1" s="5" t="s">
        <v>1025</v>
      </c>
      <c r="S1" s="5" t="s">
        <v>782</v>
      </c>
      <c r="T1" s="5" t="s">
        <v>873</v>
      </c>
      <c r="U1" s="5" t="s">
        <v>885</v>
      </c>
      <c r="V1" s="5" t="s">
        <v>880</v>
      </c>
      <c r="W1" s="5" t="s">
        <v>881</v>
      </c>
      <c r="X1" s="5" t="s">
        <v>882</v>
      </c>
      <c r="Y1" s="5" t="s">
        <v>883</v>
      </c>
      <c r="Z1" s="5" t="s">
        <v>326</v>
      </c>
      <c r="AA1" s="5" t="s">
        <v>359</v>
      </c>
      <c r="AB1" s="5" t="s">
        <v>498</v>
      </c>
      <c r="AC1" s="5" t="s">
        <v>357</v>
      </c>
      <c r="AD1" s="5" t="s">
        <v>493</v>
      </c>
      <c r="AE1" s="5" t="s">
        <v>504</v>
      </c>
      <c r="AF1" s="5" t="s">
        <v>1030</v>
      </c>
      <c r="AG1" s="5" t="s">
        <v>1015</v>
      </c>
      <c r="AH1" s="5" t="s">
        <v>505</v>
      </c>
      <c r="AI1" s="5" t="s">
        <v>506</v>
      </c>
      <c r="AJ1" s="5" t="s">
        <v>331</v>
      </c>
    </row>
    <row r="2" spans="1:36" x14ac:dyDescent="0.25">
      <c r="A2" s="2" t="s">
        <v>416</v>
      </c>
      <c r="B2" s="2">
        <v>1</v>
      </c>
      <c r="C2" s="2" t="s">
        <v>3</v>
      </c>
      <c r="D2" s="2" t="s">
        <v>3</v>
      </c>
      <c r="E2" s="2" t="s">
        <v>3</v>
      </c>
      <c r="F2" s="2" t="s">
        <v>3</v>
      </c>
      <c r="G2" s="2"/>
      <c r="H2" s="2"/>
      <c r="I2" s="2"/>
      <c r="J2" s="2"/>
      <c r="K2" s="2" t="s">
        <v>328</v>
      </c>
      <c r="L2" s="2" t="s">
        <v>330</v>
      </c>
      <c r="M2" s="2"/>
      <c r="N2" s="2"/>
      <c r="O2" s="2"/>
      <c r="P2" s="2"/>
      <c r="Q2" s="2"/>
      <c r="R2" s="2"/>
      <c r="S2" s="2"/>
      <c r="T2" s="2"/>
      <c r="U2" s="2"/>
      <c r="V2" s="2"/>
      <c r="W2" s="2"/>
      <c r="X2" s="2"/>
      <c r="Y2" s="2"/>
      <c r="Z2" s="2" t="s">
        <v>3</v>
      </c>
      <c r="AA2" s="2"/>
      <c r="AB2" s="2"/>
      <c r="AC2" s="2"/>
      <c r="AD2" s="2"/>
      <c r="AE2" s="2"/>
      <c r="AF2" s="2"/>
      <c r="AG2" s="2"/>
      <c r="AH2" s="2"/>
      <c r="AI2" s="2"/>
      <c r="AJ2" s="2" t="s">
        <v>332</v>
      </c>
    </row>
    <row r="3" spans="1:36" x14ac:dyDescent="0.25">
      <c r="A3" s="2" t="s">
        <v>416</v>
      </c>
      <c r="B3" s="2">
        <v>2</v>
      </c>
      <c r="C3" s="2"/>
      <c r="D3" s="2"/>
      <c r="E3" s="2"/>
      <c r="F3" s="2"/>
      <c r="G3" s="2"/>
      <c r="H3" s="2"/>
      <c r="I3" s="2"/>
      <c r="J3" s="2"/>
      <c r="K3" s="2"/>
      <c r="L3" s="2"/>
      <c r="M3" s="2"/>
      <c r="N3" s="2"/>
      <c r="O3" s="2"/>
      <c r="P3" s="2"/>
      <c r="Q3" s="2"/>
      <c r="R3" s="2"/>
      <c r="S3" s="2"/>
      <c r="T3" s="2"/>
      <c r="U3" s="2"/>
      <c r="V3" s="2"/>
      <c r="W3" s="2"/>
      <c r="X3" s="2"/>
      <c r="Y3" s="2"/>
      <c r="Z3" s="2"/>
      <c r="AA3" s="2" t="s">
        <v>3</v>
      </c>
      <c r="AB3" s="2"/>
      <c r="AC3" s="2" t="s">
        <v>3</v>
      </c>
      <c r="AD3" s="2"/>
      <c r="AE3" s="2"/>
      <c r="AF3" s="2"/>
      <c r="AG3" s="2"/>
      <c r="AH3" s="2"/>
      <c r="AI3" s="2"/>
      <c r="AJ3" s="2" t="s">
        <v>358</v>
      </c>
    </row>
    <row r="4" spans="1:36" x14ac:dyDescent="0.25">
      <c r="A4" s="2" t="s">
        <v>417</v>
      </c>
      <c r="B4" s="2">
        <v>1</v>
      </c>
      <c r="C4" s="2" t="s">
        <v>3</v>
      </c>
      <c r="D4" s="2" t="s">
        <v>3</v>
      </c>
      <c r="E4" s="2" t="s">
        <v>3</v>
      </c>
      <c r="F4" s="2" t="s">
        <v>3</v>
      </c>
      <c r="G4" s="2"/>
      <c r="H4" s="2"/>
      <c r="I4" s="2"/>
      <c r="J4" s="2"/>
      <c r="K4" s="2" t="s">
        <v>328</v>
      </c>
      <c r="L4" s="2"/>
      <c r="M4" s="2"/>
      <c r="N4" s="2"/>
      <c r="O4" s="2"/>
      <c r="P4" s="2"/>
      <c r="Q4" s="2"/>
      <c r="R4" s="2"/>
      <c r="S4" s="2"/>
      <c r="T4" s="2"/>
      <c r="U4" s="2"/>
      <c r="V4" s="2"/>
      <c r="W4" s="2"/>
      <c r="X4" s="2"/>
      <c r="Y4" s="2"/>
      <c r="Z4" s="2" t="s">
        <v>3</v>
      </c>
      <c r="AA4" s="2"/>
      <c r="AB4" s="2"/>
      <c r="AC4" s="2"/>
      <c r="AD4" s="2"/>
      <c r="AE4" s="2"/>
      <c r="AF4" s="2"/>
      <c r="AG4" s="2"/>
      <c r="AH4" s="2"/>
      <c r="AI4" s="2"/>
      <c r="AJ4" s="2" t="s">
        <v>1062</v>
      </c>
    </row>
    <row r="5" spans="1:36" x14ac:dyDescent="0.25">
      <c r="A5" s="2" t="s">
        <v>417</v>
      </c>
      <c r="B5" s="2">
        <v>2</v>
      </c>
      <c r="C5" s="2"/>
      <c r="D5" s="2"/>
      <c r="E5" s="2"/>
      <c r="F5" s="2"/>
      <c r="G5" s="2"/>
      <c r="H5" s="2"/>
      <c r="I5" s="2"/>
      <c r="J5" s="2"/>
      <c r="K5" s="2"/>
      <c r="L5" s="2" t="s">
        <v>330</v>
      </c>
      <c r="M5" s="2"/>
      <c r="N5" s="2"/>
      <c r="O5" s="2"/>
      <c r="P5" s="2"/>
      <c r="Q5" s="2"/>
      <c r="R5" s="2"/>
      <c r="S5" s="2"/>
      <c r="T5" s="2"/>
      <c r="U5" s="2"/>
      <c r="V5" s="2"/>
      <c r="W5" s="2"/>
      <c r="X5" s="2"/>
      <c r="Y5" s="2"/>
      <c r="Z5" s="2" t="s">
        <v>3</v>
      </c>
      <c r="AA5" s="2" t="s">
        <v>3</v>
      </c>
      <c r="AB5" s="2"/>
      <c r="AC5" s="2"/>
      <c r="AD5" s="2"/>
      <c r="AE5" s="2"/>
      <c r="AF5" s="2"/>
      <c r="AG5" s="2"/>
      <c r="AH5" s="2"/>
      <c r="AI5" s="2"/>
      <c r="AJ5" s="2"/>
    </row>
    <row r="6" spans="1:36" x14ac:dyDescent="0.25">
      <c r="A6" s="2" t="s">
        <v>418</v>
      </c>
      <c r="B6" s="2">
        <v>1</v>
      </c>
      <c r="C6" s="2" t="s">
        <v>3</v>
      </c>
      <c r="D6" s="2" t="s">
        <v>3</v>
      </c>
      <c r="E6" s="2" t="s">
        <v>3</v>
      </c>
      <c r="F6" s="2" t="s">
        <v>3</v>
      </c>
      <c r="G6" s="2"/>
      <c r="H6" s="2"/>
      <c r="I6" s="2"/>
      <c r="J6" s="2"/>
      <c r="K6" s="2"/>
      <c r="L6" s="2"/>
      <c r="M6" s="2"/>
      <c r="N6" s="2"/>
      <c r="O6" s="2"/>
      <c r="P6" s="2"/>
      <c r="Q6" s="2"/>
      <c r="R6" s="2"/>
      <c r="S6" s="2"/>
      <c r="T6" s="2"/>
      <c r="U6" s="2"/>
      <c r="V6" s="2"/>
      <c r="W6" s="2"/>
      <c r="X6" s="2"/>
      <c r="Y6" s="2"/>
      <c r="Z6" s="2" t="s">
        <v>3</v>
      </c>
      <c r="AA6" s="2" t="s">
        <v>3</v>
      </c>
      <c r="AB6" s="2"/>
      <c r="AC6" s="2"/>
      <c r="AD6" s="2"/>
      <c r="AE6" s="2"/>
      <c r="AF6" s="2"/>
      <c r="AG6" s="2"/>
      <c r="AH6" s="2"/>
      <c r="AI6" s="2"/>
      <c r="AJ6" s="2"/>
    </row>
    <row r="7" spans="1:36" x14ac:dyDescent="0.25">
      <c r="A7" s="2" t="s">
        <v>419</v>
      </c>
      <c r="B7" s="2">
        <v>1</v>
      </c>
      <c r="C7" s="2" t="s">
        <v>3</v>
      </c>
      <c r="D7" s="2" t="s">
        <v>3</v>
      </c>
      <c r="E7" s="2" t="s">
        <v>3</v>
      </c>
      <c r="F7" s="2" t="s">
        <v>3</v>
      </c>
      <c r="G7" s="2" t="s">
        <v>3</v>
      </c>
      <c r="H7" s="2"/>
      <c r="I7" s="2"/>
      <c r="J7" s="2"/>
      <c r="K7" s="2" t="s">
        <v>328</v>
      </c>
      <c r="L7" s="2"/>
      <c r="M7" s="2"/>
      <c r="N7" s="2"/>
      <c r="O7" s="2"/>
      <c r="P7" s="2"/>
      <c r="Q7" s="2"/>
      <c r="R7" s="2"/>
      <c r="S7" s="2"/>
      <c r="T7" s="2"/>
      <c r="U7" s="2"/>
      <c r="V7" s="2"/>
      <c r="W7" s="2"/>
      <c r="X7" s="2"/>
      <c r="Y7" s="2"/>
      <c r="Z7" s="2"/>
      <c r="AA7" s="2"/>
      <c r="AB7" s="2"/>
      <c r="AC7" s="2"/>
      <c r="AD7" s="2"/>
      <c r="AE7" s="2"/>
      <c r="AF7" s="2"/>
      <c r="AG7" s="2"/>
      <c r="AH7" s="2"/>
      <c r="AI7" s="2"/>
      <c r="AJ7" s="2"/>
    </row>
    <row r="8" spans="1:36" x14ac:dyDescent="0.25">
      <c r="A8" s="2" t="s">
        <v>420</v>
      </c>
      <c r="B8" s="2">
        <v>1</v>
      </c>
      <c r="C8" s="2" t="s">
        <v>3</v>
      </c>
      <c r="D8" s="2" t="s">
        <v>3</v>
      </c>
      <c r="E8" s="2" t="s">
        <v>3</v>
      </c>
      <c r="F8" s="2" t="s">
        <v>3</v>
      </c>
      <c r="G8" s="2"/>
      <c r="H8" s="2" t="s">
        <v>3</v>
      </c>
      <c r="I8" s="2"/>
      <c r="J8" s="2"/>
      <c r="K8" s="2" t="s">
        <v>328</v>
      </c>
      <c r="L8" s="2"/>
      <c r="M8" s="2"/>
      <c r="N8" s="2"/>
      <c r="O8" s="2"/>
      <c r="P8" s="2"/>
      <c r="Q8" s="2"/>
      <c r="R8" s="2"/>
      <c r="S8" s="2"/>
      <c r="T8" s="2"/>
      <c r="U8" s="2"/>
      <c r="V8" s="2"/>
      <c r="W8" s="2"/>
      <c r="X8" s="2"/>
      <c r="Y8" s="2"/>
      <c r="Z8" s="2"/>
      <c r="AA8" s="2"/>
      <c r="AB8" s="2"/>
      <c r="AC8" s="2"/>
      <c r="AD8" s="2"/>
      <c r="AE8" s="2"/>
      <c r="AF8" s="2"/>
      <c r="AG8" s="2"/>
      <c r="AH8" s="2"/>
      <c r="AI8" s="2"/>
      <c r="AJ8" s="2"/>
    </row>
    <row r="9" spans="1:36" x14ac:dyDescent="0.25">
      <c r="A9" s="2" t="s">
        <v>489</v>
      </c>
      <c r="B9" s="2">
        <v>1</v>
      </c>
      <c r="C9" s="2" t="s">
        <v>3</v>
      </c>
      <c r="D9" s="2" t="s">
        <v>3</v>
      </c>
      <c r="E9" s="2" t="s">
        <v>3</v>
      </c>
      <c r="F9" s="2" t="s">
        <v>3</v>
      </c>
      <c r="G9" s="2"/>
      <c r="H9" s="2"/>
      <c r="I9" s="2"/>
      <c r="J9" s="2"/>
      <c r="K9" s="2"/>
      <c r="L9" s="2"/>
      <c r="M9" s="2"/>
      <c r="N9" s="2"/>
      <c r="O9" s="2"/>
      <c r="P9" s="2"/>
      <c r="Q9" s="2"/>
      <c r="R9" s="2"/>
      <c r="S9" s="2"/>
      <c r="T9" s="2"/>
      <c r="U9" s="2"/>
      <c r="V9" s="2"/>
      <c r="W9" s="2"/>
      <c r="X9" s="2"/>
      <c r="Y9" s="2"/>
      <c r="Z9" s="2" t="s">
        <v>3</v>
      </c>
      <c r="AA9" s="2"/>
      <c r="AB9" s="2"/>
      <c r="AC9" s="2"/>
      <c r="AD9" s="2"/>
      <c r="AE9" s="2"/>
      <c r="AF9" s="2"/>
      <c r="AG9" s="2"/>
      <c r="AH9" s="2"/>
      <c r="AI9" s="2"/>
      <c r="AJ9" s="2"/>
    </row>
    <row r="10" spans="1:36" x14ac:dyDescent="0.25">
      <c r="A10" s="2" t="s">
        <v>489</v>
      </c>
      <c r="B10" s="2">
        <v>2</v>
      </c>
      <c r="C10" s="2"/>
      <c r="D10" s="2"/>
      <c r="E10" s="2"/>
      <c r="F10" s="2"/>
      <c r="G10" s="2"/>
      <c r="H10" s="2"/>
      <c r="I10" s="2"/>
      <c r="J10" s="2"/>
      <c r="K10" s="2"/>
      <c r="L10" s="2"/>
      <c r="M10" s="2"/>
      <c r="N10" s="2"/>
      <c r="O10" s="2"/>
      <c r="P10" s="2"/>
      <c r="Q10" s="2"/>
      <c r="R10" s="2"/>
      <c r="S10" s="2"/>
      <c r="T10" s="2"/>
      <c r="U10" s="2"/>
      <c r="V10" s="2"/>
      <c r="W10" s="2"/>
      <c r="X10" s="2"/>
      <c r="Y10" s="2"/>
      <c r="Z10" s="2"/>
      <c r="AA10" s="2" t="s">
        <v>3</v>
      </c>
      <c r="AB10" s="2"/>
      <c r="AC10" s="2"/>
      <c r="AD10" s="2" t="s">
        <v>3</v>
      </c>
      <c r="AE10" s="2"/>
      <c r="AF10" s="2"/>
      <c r="AG10" s="2"/>
      <c r="AH10" s="2"/>
      <c r="AI10" s="2"/>
      <c r="AJ10" s="2" t="s">
        <v>494</v>
      </c>
    </row>
    <row r="11" spans="1:36" x14ac:dyDescent="0.25">
      <c r="A11" s="2" t="s">
        <v>489</v>
      </c>
      <c r="B11" s="2">
        <v>3</v>
      </c>
      <c r="C11" s="2"/>
      <c r="D11" s="2"/>
      <c r="E11" s="2"/>
      <c r="F11" s="2"/>
      <c r="G11" s="2"/>
      <c r="H11" s="2"/>
      <c r="I11" s="2"/>
      <c r="J11" s="2"/>
      <c r="K11" s="2"/>
      <c r="L11" s="2"/>
      <c r="M11" s="2"/>
      <c r="N11" s="2"/>
      <c r="O11" s="2"/>
      <c r="P11" s="2"/>
      <c r="Q11" s="2"/>
      <c r="R11" s="2"/>
      <c r="S11" s="2"/>
      <c r="T11" s="2"/>
      <c r="U11" s="2"/>
      <c r="V11" s="2"/>
      <c r="W11" s="2"/>
      <c r="X11" s="2"/>
      <c r="Y11" s="2"/>
      <c r="Z11" s="2"/>
      <c r="AA11" s="2" t="s">
        <v>3</v>
      </c>
      <c r="AB11" s="2"/>
      <c r="AC11" s="2" t="s">
        <v>3</v>
      </c>
      <c r="AD11" s="2"/>
      <c r="AE11" s="2"/>
      <c r="AF11" s="2"/>
      <c r="AG11" s="2"/>
      <c r="AH11" s="2"/>
      <c r="AI11" s="2"/>
      <c r="AJ11" s="2"/>
    </row>
    <row r="12" spans="1:36" x14ac:dyDescent="0.25">
      <c r="A12" s="2" t="s">
        <v>490</v>
      </c>
      <c r="B12" s="2">
        <v>1</v>
      </c>
      <c r="C12" s="2" t="s">
        <v>3</v>
      </c>
      <c r="D12" s="2" t="s">
        <v>3</v>
      </c>
      <c r="E12" s="2" t="s">
        <v>3</v>
      </c>
      <c r="F12" s="2" t="s">
        <v>3</v>
      </c>
      <c r="G12" s="2"/>
      <c r="H12" s="2"/>
      <c r="I12" s="2"/>
      <c r="J12" s="2"/>
      <c r="K12" s="2"/>
      <c r="L12" s="2"/>
      <c r="M12" s="2"/>
      <c r="N12" s="2"/>
      <c r="O12" s="2"/>
      <c r="P12" s="2"/>
      <c r="Q12" s="2"/>
      <c r="R12" s="2"/>
      <c r="S12" s="2"/>
      <c r="T12" s="2"/>
      <c r="U12" s="2"/>
      <c r="V12" s="2"/>
      <c r="W12" s="2"/>
      <c r="X12" s="2"/>
      <c r="Y12" s="2"/>
      <c r="Z12" s="2" t="s">
        <v>3</v>
      </c>
      <c r="AA12" s="2" t="s">
        <v>3</v>
      </c>
      <c r="AB12" s="2" t="s">
        <v>3</v>
      </c>
      <c r="AC12" s="2"/>
      <c r="AD12" s="2"/>
      <c r="AE12" s="2"/>
      <c r="AF12" s="2"/>
      <c r="AG12" s="2"/>
      <c r="AH12" s="2"/>
      <c r="AI12" s="2"/>
      <c r="AJ12" s="2"/>
    </row>
    <row r="13" spans="1:36" x14ac:dyDescent="0.25">
      <c r="A13" s="2" t="s">
        <v>492</v>
      </c>
      <c r="B13" s="2">
        <v>1</v>
      </c>
      <c r="C13" s="2" t="s">
        <v>3</v>
      </c>
      <c r="D13" s="2" t="s">
        <v>3</v>
      </c>
      <c r="E13" s="2" t="s">
        <v>3</v>
      </c>
      <c r="F13" s="2" t="s">
        <v>3</v>
      </c>
      <c r="G13" s="2"/>
      <c r="H13" s="2"/>
      <c r="I13" s="2"/>
      <c r="J13" s="2"/>
      <c r="K13" s="2"/>
      <c r="L13" s="2"/>
      <c r="M13" s="2"/>
      <c r="N13" s="2"/>
      <c r="O13" s="2"/>
      <c r="P13" s="2"/>
      <c r="Q13" s="2"/>
      <c r="R13" s="2"/>
      <c r="S13" s="2"/>
      <c r="T13" s="2"/>
      <c r="U13" s="2"/>
      <c r="V13" s="2"/>
      <c r="W13" s="2"/>
      <c r="X13" s="2"/>
      <c r="Y13" s="2"/>
      <c r="Z13" s="2" t="s">
        <v>3</v>
      </c>
      <c r="AA13" s="2"/>
      <c r="AB13" s="2"/>
      <c r="AC13" s="2"/>
      <c r="AD13" s="2"/>
      <c r="AE13" s="2"/>
      <c r="AF13" s="2"/>
      <c r="AG13" s="2"/>
      <c r="AH13" s="2"/>
      <c r="AI13" s="2"/>
      <c r="AJ13" s="2"/>
    </row>
    <row r="14" spans="1:36" x14ac:dyDescent="0.25">
      <c r="A14" s="2" t="s">
        <v>492</v>
      </c>
      <c r="B14" s="2">
        <v>2</v>
      </c>
      <c r="C14" s="2"/>
      <c r="D14" s="2"/>
      <c r="E14" s="2"/>
      <c r="F14" s="2"/>
      <c r="G14" s="2"/>
      <c r="H14" s="2"/>
      <c r="I14" s="2"/>
      <c r="J14" s="2"/>
      <c r="K14" s="2"/>
      <c r="L14" s="2"/>
      <c r="M14" s="2"/>
      <c r="N14" s="2"/>
      <c r="O14" s="2"/>
      <c r="P14" s="2"/>
      <c r="Q14" s="2"/>
      <c r="R14" s="2"/>
      <c r="S14" s="2"/>
      <c r="T14" s="2"/>
      <c r="U14" s="2"/>
      <c r="V14" s="2"/>
      <c r="W14" s="2"/>
      <c r="X14" s="2"/>
      <c r="Y14" s="2"/>
      <c r="Z14" s="2"/>
      <c r="AA14" s="2" t="s">
        <v>3</v>
      </c>
      <c r="AB14" s="2"/>
      <c r="AC14" s="2"/>
      <c r="AD14" s="2"/>
      <c r="AE14" s="2" t="s">
        <v>3</v>
      </c>
      <c r="AF14" s="2"/>
      <c r="AG14" s="2"/>
      <c r="AH14" s="2" t="s">
        <v>3</v>
      </c>
      <c r="AI14" s="2" t="s">
        <v>3</v>
      </c>
      <c r="AJ14" s="2"/>
    </row>
    <row r="15" spans="1:36" x14ac:dyDescent="0.25">
      <c r="A15" s="2" t="s">
        <v>492</v>
      </c>
      <c r="B15" s="2">
        <v>3</v>
      </c>
      <c r="C15" s="2"/>
      <c r="D15" s="2"/>
      <c r="E15" s="2"/>
      <c r="F15" s="2"/>
      <c r="G15" s="2"/>
      <c r="H15" s="2"/>
      <c r="I15" s="2"/>
      <c r="J15" s="2"/>
      <c r="K15" s="2"/>
      <c r="L15" s="2"/>
      <c r="M15" s="2"/>
      <c r="N15" s="2"/>
      <c r="O15" s="2"/>
      <c r="P15" s="2"/>
      <c r="Q15" s="2"/>
      <c r="R15" s="2"/>
      <c r="S15" s="2"/>
      <c r="T15" s="2"/>
      <c r="U15" s="2"/>
      <c r="V15" s="2"/>
      <c r="W15" s="2"/>
      <c r="X15" s="2"/>
      <c r="Y15" s="2"/>
      <c r="Z15" s="2" t="s">
        <v>3</v>
      </c>
      <c r="AA15" s="2"/>
      <c r="AB15" s="2"/>
      <c r="AC15" s="2"/>
      <c r="AD15" s="2"/>
      <c r="AE15" s="2"/>
      <c r="AF15" s="2"/>
      <c r="AG15" s="2"/>
      <c r="AH15" s="2"/>
      <c r="AI15" s="2"/>
      <c r="AJ15" s="2" t="s">
        <v>332</v>
      </c>
    </row>
    <row r="16" spans="1:36" x14ac:dyDescent="0.25">
      <c r="A16" s="2" t="s">
        <v>1011</v>
      </c>
      <c r="B16" s="2">
        <v>1</v>
      </c>
      <c r="C16" s="2" t="s">
        <v>3</v>
      </c>
      <c r="D16" s="2" t="s">
        <v>3</v>
      </c>
      <c r="E16" s="2" t="s">
        <v>3</v>
      </c>
      <c r="F16" s="2" t="s">
        <v>3</v>
      </c>
      <c r="G16" s="2"/>
      <c r="H16" s="2"/>
      <c r="I16" s="2"/>
      <c r="J16" s="2"/>
      <c r="K16" s="2" t="s">
        <v>328</v>
      </c>
      <c r="L16" s="2" t="s">
        <v>330</v>
      </c>
      <c r="M16" s="2" t="s">
        <v>3</v>
      </c>
      <c r="N16" s="2" t="s">
        <v>766</v>
      </c>
      <c r="O16" s="2"/>
      <c r="P16" s="2" t="s">
        <v>781</v>
      </c>
      <c r="Q16" s="2" t="s">
        <v>3</v>
      </c>
      <c r="R16" s="2"/>
      <c r="S16" s="2" t="s">
        <v>3</v>
      </c>
      <c r="T16" s="2"/>
      <c r="U16" s="2"/>
      <c r="V16" s="2"/>
      <c r="W16" s="2"/>
      <c r="X16" s="2"/>
      <c r="Y16" s="2"/>
      <c r="Z16" s="2" t="s">
        <v>3</v>
      </c>
      <c r="AA16" s="2"/>
      <c r="AB16" s="2"/>
      <c r="AC16" s="2"/>
      <c r="AD16" s="2"/>
      <c r="AE16" s="2"/>
      <c r="AF16" s="2"/>
      <c r="AG16" s="2"/>
      <c r="AH16" s="2"/>
      <c r="AI16" s="2"/>
      <c r="AJ16" s="2" t="s">
        <v>332</v>
      </c>
    </row>
    <row r="17" spans="1:36" x14ac:dyDescent="0.25">
      <c r="A17" s="2" t="s">
        <v>1011</v>
      </c>
      <c r="B17" s="2">
        <v>2</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t="s">
        <v>1013</v>
      </c>
    </row>
    <row r="18" spans="1:36" x14ac:dyDescent="0.25">
      <c r="A18" s="2" t="s">
        <v>1018</v>
      </c>
      <c r="B18" s="2">
        <v>1</v>
      </c>
      <c r="C18" s="2" t="s">
        <v>3</v>
      </c>
      <c r="D18" s="2" t="s">
        <v>3</v>
      </c>
      <c r="E18" s="2" t="s">
        <v>3</v>
      </c>
      <c r="F18" s="2" t="s">
        <v>3</v>
      </c>
      <c r="G18" s="2"/>
      <c r="H18" s="2"/>
      <c r="I18" s="2" t="s">
        <v>3</v>
      </c>
      <c r="J18" s="2" t="s">
        <v>1022</v>
      </c>
      <c r="K18" s="2" t="s">
        <v>328</v>
      </c>
      <c r="L18" s="2" t="s">
        <v>330</v>
      </c>
      <c r="M18" s="2" t="s">
        <v>3</v>
      </c>
      <c r="N18" s="2" t="s">
        <v>766</v>
      </c>
      <c r="O18" s="2"/>
      <c r="P18" s="2" t="s">
        <v>781</v>
      </c>
      <c r="Q18" s="2" t="s">
        <v>3</v>
      </c>
      <c r="R18" s="2"/>
      <c r="S18" s="2" t="s">
        <v>3</v>
      </c>
      <c r="T18" s="2"/>
      <c r="U18" s="2"/>
      <c r="V18" s="2"/>
      <c r="W18" s="2"/>
      <c r="X18" s="2"/>
      <c r="Y18" s="2"/>
      <c r="Z18" s="2" t="s">
        <v>3</v>
      </c>
      <c r="AA18" s="2"/>
      <c r="AB18" s="2"/>
      <c r="AC18" s="2"/>
      <c r="AD18" s="2"/>
      <c r="AE18" s="2"/>
      <c r="AF18" s="2"/>
      <c r="AG18" s="2"/>
      <c r="AH18" s="2"/>
      <c r="AI18" s="2"/>
      <c r="AJ18" s="2"/>
    </row>
    <row r="19" spans="1:36" x14ac:dyDescent="0.25">
      <c r="A19" s="2" t="s">
        <v>1023</v>
      </c>
      <c r="B19" s="2">
        <v>1</v>
      </c>
      <c r="C19" s="2" t="s">
        <v>3</v>
      </c>
      <c r="D19" s="2" t="s">
        <v>3</v>
      </c>
      <c r="E19" s="2" t="s">
        <v>3</v>
      </c>
      <c r="F19" s="2" t="s">
        <v>3</v>
      </c>
      <c r="G19" s="2"/>
      <c r="H19" s="2"/>
      <c r="I19" s="2" t="s">
        <v>3</v>
      </c>
      <c r="J19" s="2" t="s">
        <v>1024</v>
      </c>
      <c r="K19" s="2" t="s">
        <v>328</v>
      </c>
      <c r="L19" s="2" t="s">
        <v>330</v>
      </c>
      <c r="M19" s="2" t="s">
        <v>3</v>
      </c>
      <c r="N19" s="2" t="s">
        <v>766</v>
      </c>
      <c r="O19" s="2"/>
      <c r="P19" s="2" t="s">
        <v>781</v>
      </c>
      <c r="Q19" s="2" t="s">
        <v>3</v>
      </c>
      <c r="R19" s="2" t="s">
        <v>3</v>
      </c>
      <c r="S19" s="2"/>
      <c r="T19" s="2"/>
      <c r="U19" s="2"/>
      <c r="V19" s="2"/>
      <c r="W19" s="2"/>
      <c r="X19" s="2"/>
      <c r="Y19" s="2"/>
      <c r="Z19" s="2"/>
      <c r="AA19" s="2"/>
      <c r="AB19" s="2"/>
      <c r="AC19" s="2"/>
      <c r="AD19" s="2"/>
      <c r="AE19" s="2"/>
      <c r="AF19" s="2"/>
      <c r="AG19" s="2"/>
      <c r="AH19" s="2"/>
      <c r="AI19" s="2"/>
      <c r="AJ19" s="2" t="s">
        <v>1026</v>
      </c>
    </row>
    <row r="20" spans="1:36" x14ac:dyDescent="0.25">
      <c r="A20" s="2" t="s">
        <v>1023</v>
      </c>
      <c r="B20" s="2">
        <v>2</v>
      </c>
      <c r="C20" s="2"/>
      <c r="D20" s="2"/>
      <c r="E20" s="2"/>
      <c r="F20" s="2"/>
      <c r="G20" s="2"/>
      <c r="H20" s="2"/>
      <c r="I20" s="2"/>
      <c r="J20" s="2"/>
      <c r="K20" s="2"/>
      <c r="L20" s="2"/>
      <c r="M20" s="2"/>
      <c r="N20" s="2" t="s">
        <v>766</v>
      </c>
      <c r="O20" s="2"/>
      <c r="P20" s="2" t="s">
        <v>781</v>
      </c>
      <c r="Q20" s="2" t="s">
        <v>3</v>
      </c>
      <c r="R20" s="2"/>
      <c r="S20" s="2" t="s">
        <v>3</v>
      </c>
      <c r="T20" s="2"/>
      <c r="U20" s="2"/>
      <c r="V20" s="2"/>
      <c r="W20" s="2"/>
      <c r="X20" s="2"/>
      <c r="Y20" s="2"/>
      <c r="Z20" s="2" t="s">
        <v>3</v>
      </c>
      <c r="AA20" s="2"/>
      <c r="AB20" s="2"/>
      <c r="AC20" s="2"/>
      <c r="AD20" s="2"/>
      <c r="AE20" s="2"/>
      <c r="AF20" s="2"/>
      <c r="AG20" s="2"/>
      <c r="AH20" s="2"/>
      <c r="AI20" s="2"/>
      <c r="AJ20" s="2"/>
    </row>
    <row r="21" spans="1:36" x14ac:dyDescent="0.25">
      <c r="A21" s="2" t="s">
        <v>735</v>
      </c>
      <c r="B21" s="2">
        <v>1</v>
      </c>
      <c r="C21" s="2" t="s">
        <v>3</v>
      </c>
      <c r="D21" s="2" t="s">
        <v>3</v>
      </c>
      <c r="E21" s="2" t="s">
        <v>3</v>
      </c>
      <c r="F21" s="2" t="s">
        <v>3</v>
      </c>
      <c r="G21" s="2"/>
      <c r="H21" s="2"/>
      <c r="I21" s="2"/>
      <c r="J21" s="2"/>
      <c r="K21" s="2" t="s">
        <v>328</v>
      </c>
      <c r="L21" s="2" t="s">
        <v>330</v>
      </c>
      <c r="M21" s="2"/>
      <c r="N21" s="2"/>
      <c r="O21" s="2"/>
      <c r="P21" s="2"/>
      <c r="Q21" s="2"/>
      <c r="R21" s="2"/>
      <c r="S21" s="2"/>
      <c r="T21" s="2"/>
      <c r="U21" s="2"/>
      <c r="V21" s="2"/>
      <c r="W21" s="2"/>
      <c r="X21" s="2"/>
      <c r="Y21" s="2"/>
      <c r="Z21" s="2" t="s">
        <v>3</v>
      </c>
      <c r="AA21" s="2"/>
      <c r="AB21" s="2"/>
      <c r="AC21" s="2"/>
      <c r="AD21" s="2"/>
      <c r="AE21" s="2"/>
      <c r="AF21" s="2"/>
      <c r="AG21" s="2"/>
      <c r="AH21" s="2"/>
      <c r="AI21" s="2"/>
      <c r="AJ21" s="2" t="s">
        <v>332</v>
      </c>
    </row>
    <row r="22" spans="1:36" x14ac:dyDescent="0.25">
      <c r="A22" s="2" t="s">
        <v>849</v>
      </c>
      <c r="B22" s="2">
        <v>1</v>
      </c>
      <c r="C22" s="2" t="s">
        <v>3</v>
      </c>
      <c r="D22" s="2" t="s">
        <v>3</v>
      </c>
      <c r="E22" s="2" t="s">
        <v>3</v>
      </c>
      <c r="F22" s="2" t="s">
        <v>3</v>
      </c>
      <c r="G22" s="2"/>
      <c r="H22" s="2"/>
      <c r="I22" s="2"/>
      <c r="J22" s="2"/>
      <c r="K22" s="2" t="s">
        <v>328</v>
      </c>
      <c r="L22" s="2" t="s">
        <v>330</v>
      </c>
      <c r="M22" s="2" t="s">
        <v>3</v>
      </c>
      <c r="N22" s="2" t="s">
        <v>766</v>
      </c>
      <c r="O22" s="2"/>
      <c r="P22" s="2" t="s">
        <v>781</v>
      </c>
      <c r="Q22" s="2" t="s">
        <v>3</v>
      </c>
      <c r="R22" s="2"/>
      <c r="S22" s="2" t="s">
        <v>3</v>
      </c>
      <c r="T22" s="2"/>
      <c r="U22" s="2"/>
      <c r="V22" s="2"/>
      <c r="W22" s="2"/>
      <c r="X22" s="2"/>
      <c r="Y22" s="2"/>
      <c r="Z22" s="2" t="s">
        <v>3</v>
      </c>
      <c r="AA22" s="2"/>
      <c r="AB22" s="2"/>
      <c r="AC22" s="2"/>
      <c r="AD22" s="2"/>
      <c r="AE22" s="2"/>
      <c r="AF22" s="2"/>
      <c r="AG22" s="2"/>
      <c r="AH22" s="2"/>
      <c r="AI22" s="2"/>
      <c r="AJ22" s="2" t="s">
        <v>332</v>
      </c>
    </row>
    <row r="23" spans="1:36" x14ac:dyDescent="0.25">
      <c r="A23" s="2" t="s">
        <v>864</v>
      </c>
      <c r="B23" s="2">
        <v>1</v>
      </c>
      <c r="C23" s="2" t="s">
        <v>3</v>
      </c>
      <c r="D23" s="2" t="s">
        <v>3</v>
      </c>
      <c r="E23" s="2" t="s">
        <v>3</v>
      </c>
      <c r="F23" s="2" t="s">
        <v>3</v>
      </c>
      <c r="G23" s="2"/>
      <c r="H23" s="2"/>
      <c r="I23" s="2"/>
      <c r="J23" s="2"/>
      <c r="K23" s="2" t="s">
        <v>328</v>
      </c>
      <c r="L23" s="2" t="s">
        <v>330</v>
      </c>
      <c r="M23" s="2"/>
      <c r="N23" s="2"/>
      <c r="O23" s="2"/>
      <c r="P23" s="2"/>
      <c r="Q23" s="2"/>
      <c r="R23" s="2"/>
      <c r="S23" s="2"/>
      <c r="T23" s="2"/>
      <c r="U23" s="2"/>
      <c r="V23" s="2"/>
      <c r="W23" s="2"/>
      <c r="X23" s="2"/>
      <c r="Y23" s="2"/>
      <c r="Z23" s="2" t="s">
        <v>3</v>
      </c>
      <c r="AA23" s="2"/>
      <c r="AB23" s="2"/>
      <c r="AC23" s="2"/>
      <c r="AD23" s="2"/>
      <c r="AE23" s="2"/>
      <c r="AF23" s="2"/>
      <c r="AG23" s="2"/>
      <c r="AH23" s="2"/>
      <c r="AI23" s="2"/>
      <c r="AJ23" s="2" t="s">
        <v>332</v>
      </c>
    </row>
    <row r="24" spans="1:36" x14ac:dyDescent="0.25">
      <c r="A24" s="2" t="s">
        <v>868</v>
      </c>
      <c r="B24" s="2">
        <v>1</v>
      </c>
      <c r="C24" s="2" t="s">
        <v>3</v>
      </c>
      <c r="D24" s="2" t="s">
        <v>3</v>
      </c>
      <c r="E24" s="2" t="s">
        <v>3</v>
      </c>
      <c r="F24" s="2" t="s">
        <v>3</v>
      </c>
      <c r="G24" s="2"/>
      <c r="H24" s="2"/>
      <c r="I24" s="2"/>
      <c r="J24" s="2"/>
      <c r="K24" s="2" t="s">
        <v>328</v>
      </c>
      <c r="L24" s="2" t="s">
        <v>330</v>
      </c>
      <c r="M24" s="2" t="s">
        <v>3</v>
      </c>
      <c r="N24" s="2"/>
      <c r="O24" s="2" t="s">
        <v>637</v>
      </c>
      <c r="P24" s="2"/>
      <c r="Q24" s="2" t="s">
        <v>3</v>
      </c>
      <c r="R24" s="2"/>
      <c r="S24" s="2"/>
      <c r="T24" s="2" t="s">
        <v>3</v>
      </c>
      <c r="U24" s="2"/>
      <c r="V24" s="2"/>
      <c r="W24" s="2"/>
      <c r="X24" s="2"/>
      <c r="Y24" s="2"/>
      <c r="Z24" s="2" t="s">
        <v>3</v>
      </c>
      <c r="AA24" s="2"/>
      <c r="AB24" s="2"/>
      <c r="AC24" s="2"/>
      <c r="AD24" s="2"/>
      <c r="AE24" s="2"/>
      <c r="AF24" s="2"/>
      <c r="AG24" s="2"/>
      <c r="AH24" s="2"/>
      <c r="AI24" s="2"/>
      <c r="AJ24" s="2" t="s">
        <v>332</v>
      </c>
    </row>
    <row r="25" spans="1:36" x14ac:dyDescent="0.25">
      <c r="A25" s="2" t="s">
        <v>869</v>
      </c>
      <c r="B25" s="2">
        <v>1</v>
      </c>
      <c r="C25" s="2" t="s">
        <v>3</v>
      </c>
      <c r="D25" s="2" t="s">
        <v>3</v>
      </c>
      <c r="E25" s="2" t="s">
        <v>3</v>
      </c>
      <c r="F25" s="2" t="s">
        <v>3</v>
      </c>
      <c r="G25" s="2"/>
      <c r="H25" s="2"/>
      <c r="I25" s="2"/>
      <c r="J25" s="2"/>
      <c r="K25" s="2" t="s">
        <v>328</v>
      </c>
      <c r="L25" s="2" t="s">
        <v>330</v>
      </c>
      <c r="M25" s="2" t="s">
        <v>3</v>
      </c>
      <c r="N25" s="2"/>
      <c r="O25" s="2" t="s">
        <v>637</v>
      </c>
      <c r="P25" s="2"/>
      <c r="Q25" s="2" t="s">
        <v>3</v>
      </c>
      <c r="R25" s="2"/>
      <c r="S25" s="2"/>
      <c r="T25" s="2" t="s">
        <v>3</v>
      </c>
      <c r="U25" s="2"/>
      <c r="V25" s="2"/>
      <c r="W25" s="2"/>
      <c r="X25" s="2"/>
      <c r="Y25" s="2"/>
      <c r="Z25" s="2" t="s">
        <v>3</v>
      </c>
      <c r="AA25" s="2"/>
      <c r="AB25" s="2"/>
      <c r="AC25" s="2"/>
      <c r="AD25" s="2"/>
      <c r="AE25" s="2"/>
      <c r="AF25" s="2"/>
      <c r="AG25" s="2"/>
      <c r="AH25" s="2"/>
      <c r="AI25" s="2"/>
      <c r="AJ25" s="2" t="s">
        <v>332</v>
      </c>
    </row>
    <row r="26" spans="1:36" x14ac:dyDescent="0.25">
      <c r="A26" s="2" t="s">
        <v>879</v>
      </c>
      <c r="B26" s="2">
        <v>1</v>
      </c>
      <c r="C26" s="2"/>
      <c r="D26" s="2"/>
      <c r="E26" s="2"/>
      <c r="F26" s="2"/>
      <c r="G26" s="2"/>
      <c r="H26" s="2"/>
      <c r="I26" s="2"/>
      <c r="J26" s="2"/>
      <c r="K26" s="2"/>
      <c r="L26" s="2"/>
      <c r="M26" s="2"/>
      <c r="N26" s="2"/>
      <c r="O26" s="2"/>
      <c r="P26" s="2"/>
      <c r="Q26" s="2"/>
      <c r="R26" s="2"/>
      <c r="S26" s="2"/>
      <c r="T26" s="2"/>
      <c r="U26" s="2" t="s">
        <v>3</v>
      </c>
      <c r="V26" s="2" t="s">
        <v>3</v>
      </c>
      <c r="W26" s="2" t="s">
        <v>3</v>
      </c>
      <c r="X26" s="2" t="s">
        <v>3</v>
      </c>
      <c r="Y26" s="2" t="s">
        <v>3</v>
      </c>
      <c r="Z26" s="2" t="s">
        <v>3</v>
      </c>
      <c r="AA26" s="2"/>
      <c r="AB26" s="2"/>
      <c r="AC26" s="2"/>
      <c r="AD26" s="2"/>
      <c r="AE26" s="2"/>
      <c r="AF26" s="2"/>
      <c r="AG26" s="2"/>
      <c r="AH26" s="2"/>
      <c r="AI26" s="2"/>
      <c r="AJ26" s="2"/>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J14"/>
  <sheetViews>
    <sheetView zoomScale="85" zoomScaleNormal="85" workbookViewId="0">
      <selection activeCell="G14" sqref="G14"/>
    </sheetView>
  </sheetViews>
  <sheetFormatPr defaultRowHeight="15" x14ac:dyDescent="0.25"/>
  <cols>
    <col min="1" max="3" width="9.140625" style="14" collapsed="1"/>
    <col min="4" max="4" width="23.85546875" style="14" customWidth="1" collapsed="1"/>
    <col min="5" max="5" width="13.85546875" style="14" bestFit="1" customWidth="1" collapsed="1"/>
    <col min="6" max="6" width="15.5703125" style="14" bestFit="1" customWidth="1" collapsed="1"/>
    <col min="7" max="7" width="22.5703125" style="14" bestFit="1" customWidth="1" collapsed="1"/>
    <col min="8" max="9" width="22.5703125" style="14" customWidth="1" collapsed="1"/>
    <col min="10" max="10" width="110.7109375" style="14" bestFit="1" customWidth="1" collapsed="1"/>
    <col min="11" max="16384" width="9.140625" style="14" collapsed="1"/>
  </cols>
  <sheetData>
    <row r="1" spans="1:10" x14ac:dyDescent="0.25">
      <c r="A1" s="9" t="s">
        <v>0</v>
      </c>
      <c r="B1" s="5" t="s">
        <v>20</v>
      </c>
      <c r="C1" s="5" t="s">
        <v>77</v>
      </c>
      <c r="D1" s="5" t="s">
        <v>360</v>
      </c>
      <c r="E1" s="5" t="s">
        <v>369</v>
      </c>
      <c r="F1" s="5" t="s">
        <v>357</v>
      </c>
      <c r="G1" s="5" t="s">
        <v>502</v>
      </c>
      <c r="H1" s="5" t="s">
        <v>499</v>
      </c>
      <c r="I1" s="5" t="s">
        <v>500</v>
      </c>
      <c r="J1" s="5" t="s">
        <v>364</v>
      </c>
    </row>
    <row r="2" spans="1:10" x14ac:dyDescent="0.25">
      <c r="A2" s="2" t="s">
        <v>416</v>
      </c>
      <c r="B2" s="2">
        <v>1</v>
      </c>
      <c r="C2" s="2"/>
      <c r="D2" s="2" t="s">
        <v>361</v>
      </c>
      <c r="E2" s="2"/>
      <c r="F2" s="2"/>
      <c r="G2" s="2"/>
      <c r="H2" s="2"/>
      <c r="I2" s="2"/>
      <c r="J2" s="2" t="s">
        <v>362</v>
      </c>
    </row>
    <row r="3" spans="1:10" x14ac:dyDescent="0.25">
      <c r="A3" s="2" t="s">
        <v>416</v>
      </c>
      <c r="B3" s="2">
        <v>2</v>
      </c>
      <c r="C3" s="2"/>
      <c r="D3" s="2"/>
      <c r="E3" s="2"/>
      <c r="F3" s="2"/>
      <c r="G3" s="2" t="s">
        <v>3</v>
      </c>
      <c r="H3" s="2"/>
      <c r="I3" s="2"/>
      <c r="J3" s="2" t="s">
        <v>495</v>
      </c>
    </row>
    <row r="4" spans="1:10" x14ac:dyDescent="0.25">
      <c r="A4" s="2" t="s">
        <v>417</v>
      </c>
      <c r="B4" s="2">
        <v>1</v>
      </c>
      <c r="C4" s="2"/>
      <c r="D4" s="2"/>
      <c r="E4" s="2" t="s">
        <v>3</v>
      </c>
      <c r="F4" s="2"/>
      <c r="G4" s="2"/>
      <c r="H4" s="2"/>
      <c r="I4" s="2"/>
      <c r="J4" s="2" t="s">
        <v>370</v>
      </c>
    </row>
    <row r="5" spans="1:10" x14ac:dyDescent="0.25">
      <c r="A5" s="2" t="s">
        <v>417</v>
      </c>
      <c r="B5" s="2">
        <v>2</v>
      </c>
      <c r="C5" s="2"/>
      <c r="D5" s="2"/>
      <c r="E5" s="2"/>
      <c r="F5" s="2" t="s">
        <v>3</v>
      </c>
      <c r="G5" s="2"/>
      <c r="H5" s="2"/>
      <c r="I5" s="2"/>
      <c r="J5" s="2"/>
    </row>
    <row r="6" spans="1:10" x14ac:dyDescent="0.25">
      <c r="A6" s="2" t="s">
        <v>418</v>
      </c>
      <c r="B6" s="2">
        <v>1</v>
      </c>
      <c r="C6" s="2"/>
      <c r="D6" s="2"/>
      <c r="E6" s="2" t="s">
        <v>3</v>
      </c>
      <c r="F6" s="2"/>
      <c r="G6" s="2"/>
      <c r="H6" s="2"/>
      <c r="I6" s="2"/>
      <c r="J6" s="2" t="s">
        <v>372</v>
      </c>
    </row>
    <row r="7" spans="1:10" x14ac:dyDescent="0.25">
      <c r="A7" s="2" t="s">
        <v>418</v>
      </c>
      <c r="B7" s="2">
        <v>2</v>
      </c>
      <c r="C7" s="2"/>
      <c r="D7" s="2"/>
      <c r="E7" s="2"/>
      <c r="F7" s="2" t="s">
        <v>3</v>
      </c>
      <c r="G7" s="2"/>
      <c r="H7" s="2"/>
      <c r="I7" s="2"/>
      <c r="J7" s="2"/>
    </row>
    <row r="8" spans="1:10" x14ac:dyDescent="0.25">
      <c r="A8" s="2" t="s">
        <v>419</v>
      </c>
      <c r="B8" s="2">
        <v>1</v>
      </c>
      <c r="C8" s="2"/>
      <c r="D8" s="2"/>
      <c r="E8" s="2"/>
      <c r="F8" s="2"/>
      <c r="G8" s="2"/>
      <c r="H8" s="2"/>
      <c r="I8" s="2"/>
      <c r="J8" s="2" t="s">
        <v>375</v>
      </c>
    </row>
    <row r="9" spans="1:10" x14ac:dyDescent="0.25">
      <c r="A9" s="2" t="s">
        <v>420</v>
      </c>
      <c r="B9" s="2">
        <v>1</v>
      </c>
      <c r="C9" s="2"/>
      <c r="D9" s="2"/>
      <c r="E9" s="2"/>
      <c r="F9" s="2"/>
      <c r="G9" s="2"/>
      <c r="H9" s="2"/>
      <c r="I9" s="2"/>
      <c r="J9" s="2" t="s">
        <v>375</v>
      </c>
    </row>
    <row r="10" spans="1:10" x14ac:dyDescent="0.25">
      <c r="A10" s="2" t="s">
        <v>489</v>
      </c>
      <c r="B10" s="2">
        <v>1</v>
      </c>
      <c r="C10" s="2"/>
      <c r="D10" s="2" t="s">
        <v>361</v>
      </c>
      <c r="E10" s="2"/>
      <c r="F10" s="2"/>
      <c r="G10" s="2"/>
      <c r="H10" s="2"/>
      <c r="I10" s="2"/>
      <c r="J10" s="2"/>
    </row>
    <row r="11" spans="1:10" x14ac:dyDescent="0.25">
      <c r="A11" s="2" t="s">
        <v>489</v>
      </c>
      <c r="B11" s="2">
        <v>2</v>
      </c>
      <c r="C11" s="2"/>
      <c r="D11" s="2"/>
      <c r="E11" s="2"/>
      <c r="F11" s="2"/>
      <c r="G11" s="2"/>
      <c r="H11" s="2" t="s">
        <v>3</v>
      </c>
      <c r="I11" s="2"/>
      <c r="J11" s="2" t="s">
        <v>495</v>
      </c>
    </row>
    <row r="12" spans="1:10" x14ac:dyDescent="0.25">
      <c r="A12" s="2" t="s">
        <v>490</v>
      </c>
      <c r="B12" s="2">
        <v>1</v>
      </c>
      <c r="C12" s="2"/>
      <c r="D12" s="2" t="s">
        <v>361</v>
      </c>
      <c r="E12" s="2"/>
      <c r="F12" s="2"/>
      <c r="G12" s="2"/>
      <c r="H12" s="2"/>
      <c r="I12" s="2"/>
      <c r="J12" s="2"/>
    </row>
    <row r="13" spans="1:10" x14ac:dyDescent="0.25">
      <c r="A13" s="2" t="s">
        <v>490</v>
      </c>
      <c r="B13" s="2">
        <v>2</v>
      </c>
      <c r="C13" s="2"/>
      <c r="D13" s="2"/>
      <c r="E13" s="2"/>
      <c r="F13" s="2"/>
      <c r="G13" s="2"/>
      <c r="H13" s="2" t="s">
        <v>3</v>
      </c>
      <c r="I13" s="2"/>
      <c r="J13" s="2"/>
    </row>
    <row r="14" spans="1:10" x14ac:dyDescent="0.25">
      <c r="A14" s="2" t="s">
        <v>492</v>
      </c>
      <c r="B14" s="2">
        <v>1</v>
      </c>
      <c r="C14" s="2"/>
      <c r="D14" s="2" t="s">
        <v>361</v>
      </c>
      <c r="E14" s="2"/>
      <c r="F14" s="2"/>
      <c r="G14" s="2" t="s">
        <v>3</v>
      </c>
      <c r="H14" s="2"/>
      <c r="I14" s="2"/>
      <c r="J14" s="2" t="s">
        <v>507</v>
      </c>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Z11"/>
  <sheetViews>
    <sheetView zoomScale="85" zoomScaleNormal="85" workbookViewId="0">
      <pane xSplit="2" ySplit="1" topLeftCell="W2" activePane="bottomRight" state="frozen"/>
      <selection activeCell="A2" sqref="A2"/>
      <selection pane="topRight" activeCell="A2" sqref="A2"/>
      <selection pane="bottomLeft" activeCell="A2" sqref="A2"/>
      <selection pane="bottomRight" activeCell="Z2" sqref="Z2"/>
    </sheetView>
  </sheetViews>
  <sheetFormatPr defaultRowHeight="15" x14ac:dyDescent="0.25"/>
  <cols>
    <col min="1" max="1" width="6.28515625" style="1" customWidth="1" collapsed="1"/>
    <col min="2" max="2" width="8.7109375" style="1" bestFit="1" customWidth="1" collapsed="1"/>
    <col min="3" max="3" width="9.7109375" style="1" customWidth="1" collapsed="1"/>
    <col min="4" max="4" width="31.7109375" style="1" bestFit="1" customWidth="1" collapsed="1"/>
    <col min="5" max="5" width="9.7109375" style="1" customWidth="1" collapsed="1"/>
    <col min="6" max="6" width="10.28515625" style="1" bestFit="1" customWidth="1" collapsed="1"/>
    <col min="7" max="7" width="8.140625" style="1" customWidth="1" collapsed="1"/>
    <col min="8" max="8" width="10.28515625" style="1" customWidth="1" collapsed="1"/>
    <col min="9" max="9" width="19.5703125" style="1" bestFit="1" customWidth="1" collapsed="1"/>
    <col min="10" max="10" width="16.140625" style="1" bestFit="1" customWidth="1" collapsed="1"/>
    <col min="11" max="11" width="28.7109375" style="1" bestFit="1" customWidth="1" collapsed="1"/>
    <col min="12" max="12" width="15.85546875" style="1" bestFit="1" customWidth="1" collapsed="1"/>
    <col min="13" max="13" width="20.5703125" style="1" bestFit="1" customWidth="1" collapsed="1"/>
    <col min="14" max="14" width="11.42578125" style="1" bestFit="1" customWidth="1" collapsed="1"/>
    <col min="15" max="15" width="13.85546875" style="1" bestFit="1" customWidth="1" collapsed="1"/>
    <col min="16" max="16" width="14.28515625" style="1" bestFit="1" customWidth="1" collapsed="1"/>
    <col min="17" max="17" width="14.7109375" style="1" bestFit="1" customWidth="1" collapsed="1"/>
    <col min="18" max="18" width="14" style="1" customWidth="1" collapsed="1"/>
    <col min="19" max="19" width="12.5703125" style="1" customWidth="1" collapsed="1"/>
    <col min="20" max="20" width="12.28515625" style="1" customWidth="1" collapsed="1"/>
    <col min="21" max="21" width="16.140625" style="1" customWidth="1" collapsed="1"/>
    <col min="22" max="22" width="19.42578125" style="1" customWidth="1" collapsed="1"/>
    <col min="23" max="23" width="10" style="1" bestFit="1" customWidth="1" collapsed="1"/>
    <col min="24" max="24" width="21" style="1" customWidth="1" collapsed="1"/>
    <col min="25" max="25" width="24.42578125" style="1" customWidth="1" collapsed="1"/>
    <col min="26" max="26" width="124" style="1" bestFit="1" customWidth="1" collapsed="1"/>
    <col min="27" max="16384" width="9.140625" style="1" collapsed="1"/>
  </cols>
  <sheetData>
    <row r="1" spans="1:26" x14ac:dyDescent="0.25">
      <c r="A1" s="4" t="s">
        <v>0</v>
      </c>
      <c r="B1" s="5" t="s">
        <v>20</v>
      </c>
      <c r="C1" s="5" t="s">
        <v>180</v>
      </c>
      <c r="D1" s="5" t="s">
        <v>784</v>
      </c>
      <c r="E1" s="5" t="s">
        <v>48</v>
      </c>
      <c r="F1" s="5" t="s">
        <v>267</v>
      </c>
      <c r="G1" s="5" t="s">
        <v>273</v>
      </c>
      <c r="H1" s="5" t="s">
        <v>272</v>
      </c>
      <c r="I1" s="5" t="s">
        <v>302</v>
      </c>
      <c r="J1" s="5" t="s">
        <v>285</v>
      </c>
      <c r="K1" s="5" t="s">
        <v>287</v>
      </c>
      <c r="L1" s="5" t="s">
        <v>310</v>
      </c>
      <c r="M1" s="5" t="s">
        <v>312</v>
      </c>
      <c r="N1" s="5" t="s">
        <v>288</v>
      </c>
      <c r="O1" s="5" t="s">
        <v>289</v>
      </c>
      <c r="P1" s="5" t="s">
        <v>293</v>
      </c>
      <c r="Q1" s="5" t="s">
        <v>295</v>
      </c>
      <c r="R1" s="5" t="s">
        <v>301</v>
      </c>
      <c r="S1" s="5" t="s">
        <v>400</v>
      </c>
      <c r="T1" s="5" t="s">
        <v>296</v>
      </c>
      <c r="U1" s="5" t="s">
        <v>297</v>
      </c>
      <c r="V1" s="5" t="s">
        <v>486</v>
      </c>
      <c r="W1" s="5" t="s">
        <v>298</v>
      </c>
      <c r="X1" s="5" t="s">
        <v>303</v>
      </c>
      <c r="Y1" s="5" t="s">
        <v>286</v>
      </c>
      <c r="Z1" s="5" t="s">
        <v>255</v>
      </c>
    </row>
    <row r="2" spans="1:26" x14ac:dyDescent="0.25">
      <c r="A2" s="4" t="s">
        <v>395</v>
      </c>
      <c r="B2" s="6">
        <v>1</v>
      </c>
      <c r="C2"/>
      <c r="D2" t="s">
        <v>892</v>
      </c>
      <c r="E2" t="s">
        <v>1171</v>
      </c>
      <c r="F2"/>
      <c r="G2"/>
      <c r="H2"/>
      <c r="I2"/>
      <c r="J2"/>
      <c r="K2"/>
      <c r="L2"/>
      <c r="M2"/>
      <c r="N2"/>
      <c r="O2"/>
      <c r="P2"/>
      <c r="Q2"/>
      <c r="R2"/>
      <c r="S2"/>
      <c r="T2"/>
      <c r="U2"/>
      <c r="V2"/>
      <c r="W2"/>
      <c r="X2"/>
      <c r="Y2"/>
      <c r="Z2"/>
    </row>
    <row r="3" spans="1:26" ht="30" x14ac:dyDescent="0.25">
      <c r="A3" s="2" t="s">
        <v>247</v>
      </c>
      <c r="B3" s="6">
        <v>1</v>
      </c>
      <c r="C3" s="6" t="s">
        <v>3</v>
      </c>
      <c r="D3"/>
      <c r="E3"/>
      <c r="F3"/>
      <c r="G3"/>
      <c r="H3"/>
      <c r="I3"/>
      <c r="J3"/>
      <c r="K3"/>
      <c r="L3"/>
      <c r="M3"/>
      <c r="N3"/>
      <c r="O3"/>
      <c r="P3"/>
      <c r="Q3"/>
      <c r="R3"/>
      <c r="S3"/>
      <c r="T3"/>
      <c r="U3"/>
      <c r="V3"/>
      <c r="W3"/>
      <c r="X3"/>
      <c r="Y3"/>
      <c r="Z3" s="29" t="s">
        <v>386</v>
      </c>
    </row>
    <row r="4" spans="1:26" x14ac:dyDescent="0.25">
      <c r="A4" s="2" t="s">
        <v>247</v>
      </c>
      <c r="B4" s="6">
        <v>2</v>
      </c>
      <c r="C4" s="6" t="s">
        <v>3</v>
      </c>
      <c r="D4"/>
      <c r="E4"/>
      <c r="F4"/>
      <c r="G4"/>
      <c r="H4"/>
      <c r="I4"/>
      <c r="J4"/>
      <c r="K4"/>
      <c r="L4"/>
      <c r="M4"/>
      <c r="N4"/>
      <c r="O4"/>
      <c r="P4"/>
      <c r="Q4"/>
      <c r="R4"/>
      <c r="S4"/>
      <c r="T4"/>
      <c r="U4"/>
      <c r="V4"/>
      <c r="W4"/>
      <c r="X4"/>
      <c r="Y4"/>
      <c r="Z4" s="27" t="s">
        <v>387</v>
      </c>
    </row>
    <row r="5" spans="1:26" x14ac:dyDescent="0.25">
      <c r="A5" s="2" t="s">
        <v>270</v>
      </c>
      <c r="B5" s="6">
        <v>1</v>
      </c>
      <c r="C5" s="6" t="s">
        <v>3</v>
      </c>
      <c r="D5"/>
      <c r="E5"/>
      <c r="F5"/>
      <c r="G5" s="6" t="s">
        <v>3</v>
      </c>
      <c r="H5" s="6" t="s">
        <v>3</v>
      </c>
      <c r="I5"/>
      <c r="J5"/>
      <c r="K5"/>
      <c r="L5"/>
      <c r="M5"/>
      <c r="N5"/>
      <c r="O5"/>
      <c r="P5"/>
      <c r="Q5"/>
      <c r="R5"/>
      <c r="S5"/>
      <c r="T5"/>
      <c r="U5"/>
      <c r="V5"/>
      <c r="W5"/>
      <c r="X5"/>
      <c r="Y5"/>
      <c r="Z5" s="27" t="s">
        <v>274</v>
      </c>
    </row>
    <row r="6" spans="1:26" x14ac:dyDescent="0.25">
      <c r="A6" s="2" t="s">
        <v>284</v>
      </c>
      <c r="B6" s="6">
        <v>1</v>
      </c>
      <c r="C6" s="6" t="s">
        <v>3</v>
      </c>
      <c r="D6"/>
      <c r="E6"/>
      <c r="F6"/>
      <c r="G6"/>
      <c r="H6"/>
      <c r="I6" s="6" t="s">
        <v>392</v>
      </c>
      <c r="J6" s="6" t="s">
        <v>393</v>
      </c>
      <c r="K6" s="6" t="s">
        <v>3</v>
      </c>
      <c r="L6"/>
      <c r="M6"/>
      <c r="N6" s="6" t="s">
        <v>3</v>
      </c>
      <c r="O6" s="6" t="s">
        <v>3</v>
      </c>
      <c r="P6"/>
      <c r="Q6"/>
      <c r="R6"/>
      <c r="S6"/>
      <c r="T6"/>
      <c r="U6"/>
      <c r="V6"/>
      <c r="W6"/>
      <c r="X6"/>
      <c r="Y6" s="6" t="s">
        <v>3</v>
      </c>
      <c r="Z6" s="27" t="s">
        <v>389</v>
      </c>
    </row>
    <row r="7" spans="1:26" x14ac:dyDescent="0.25">
      <c r="A7" s="2" t="s">
        <v>292</v>
      </c>
      <c r="B7" s="6">
        <v>1</v>
      </c>
      <c r="C7" s="6" t="s">
        <v>3</v>
      </c>
      <c r="D7"/>
      <c r="E7"/>
      <c r="F7"/>
      <c r="G7"/>
      <c r="H7"/>
      <c r="I7" s="6" t="s">
        <v>390</v>
      </c>
      <c r="J7"/>
      <c r="K7" s="6" t="s">
        <v>3</v>
      </c>
      <c r="L7"/>
      <c r="M7"/>
      <c r="N7"/>
      <c r="O7"/>
      <c r="P7"/>
      <c r="Q7"/>
      <c r="R7"/>
      <c r="S7"/>
      <c r="T7"/>
      <c r="U7"/>
      <c r="V7"/>
      <c r="W7"/>
      <c r="X7"/>
      <c r="Y7"/>
      <c r="Z7" s="27" t="s">
        <v>391</v>
      </c>
    </row>
    <row r="8" spans="1:26" x14ac:dyDescent="0.25">
      <c r="A8" s="2" t="s">
        <v>294</v>
      </c>
      <c r="B8" s="6">
        <v>1</v>
      </c>
      <c r="C8" s="6" t="s">
        <v>3</v>
      </c>
      <c r="D8"/>
      <c r="E8"/>
      <c r="F8"/>
      <c r="G8"/>
      <c r="H8"/>
      <c r="I8" s="6" t="s">
        <v>390</v>
      </c>
      <c r="J8"/>
      <c r="K8"/>
      <c r="L8"/>
      <c r="M8"/>
      <c r="N8"/>
      <c r="O8"/>
      <c r="P8" s="6" t="s">
        <v>3</v>
      </c>
      <c r="Q8" s="6" t="s">
        <v>3</v>
      </c>
      <c r="R8" s="6" t="s">
        <v>299</v>
      </c>
      <c r="S8" s="6" t="s">
        <v>3</v>
      </c>
      <c r="T8" s="11" t="s">
        <v>34</v>
      </c>
      <c r="U8" s="6" t="s">
        <v>3</v>
      </c>
      <c r="V8" s="6" t="s">
        <v>3</v>
      </c>
      <c r="W8" s="6" t="s">
        <v>3</v>
      </c>
      <c r="X8"/>
      <c r="Y8"/>
      <c r="Z8"/>
    </row>
    <row r="9" spans="1:26" x14ac:dyDescent="0.25">
      <c r="A9" s="2" t="s">
        <v>294</v>
      </c>
      <c r="B9" s="6">
        <v>2</v>
      </c>
      <c r="C9"/>
      <c r="D9"/>
      <c r="E9"/>
      <c r="F9"/>
      <c r="G9"/>
      <c r="H9"/>
      <c r="I9"/>
      <c r="J9"/>
      <c r="K9"/>
      <c r="L9"/>
      <c r="M9"/>
      <c r="N9"/>
      <c r="O9"/>
      <c r="P9"/>
      <c r="Q9"/>
      <c r="R9"/>
      <c r="S9"/>
      <c r="T9"/>
      <c r="U9"/>
      <c r="V9"/>
      <c r="W9"/>
      <c r="X9" s="6" t="s">
        <v>304</v>
      </c>
      <c r="Y9" s="6" t="s">
        <v>3</v>
      </c>
      <c r="Z9"/>
    </row>
    <row r="10" spans="1:26" x14ac:dyDescent="0.25">
      <c r="A10" s="2" t="s">
        <v>305</v>
      </c>
      <c r="B10" s="6">
        <v>1</v>
      </c>
      <c r="C10" s="6" t="s">
        <v>3</v>
      </c>
      <c r="D10"/>
      <c r="E10"/>
      <c r="F10"/>
      <c r="G10"/>
      <c r="H10"/>
      <c r="I10"/>
      <c r="J10"/>
      <c r="K10"/>
      <c r="L10" s="6" t="s">
        <v>3</v>
      </c>
      <c r="M10"/>
      <c r="N10"/>
      <c r="O10"/>
      <c r="P10"/>
      <c r="Q10"/>
      <c r="R10"/>
      <c r="S10"/>
      <c r="T10"/>
      <c r="U10"/>
      <c r="V10"/>
      <c r="W10"/>
      <c r="X10"/>
      <c r="Y10"/>
      <c r="Z10"/>
    </row>
    <row r="11" spans="1:26" x14ac:dyDescent="0.25">
      <c r="A11" s="2" t="s">
        <v>311</v>
      </c>
      <c r="B11" s="6">
        <v>1</v>
      </c>
      <c r="C11" s="6" t="s">
        <v>3</v>
      </c>
      <c r="D11"/>
      <c r="E11"/>
      <c r="F11"/>
      <c r="G11"/>
      <c r="H11"/>
      <c r="I11"/>
      <c r="J11"/>
      <c r="K11"/>
      <c r="L11"/>
      <c r="M11" s="6" t="s">
        <v>3</v>
      </c>
      <c r="N11"/>
      <c r="O11"/>
      <c r="P11"/>
      <c r="Q11"/>
      <c r="R11"/>
      <c r="S11"/>
      <c r="T11"/>
      <c r="U11"/>
      <c r="V11"/>
      <c r="W11"/>
      <c r="X11"/>
      <c r="Y11"/>
      <c r="Z11"/>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M9"/>
  <sheetViews>
    <sheetView zoomScale="85" zoomScaleNormal="85" workbookViewId="0">
      <pane xSplit="2" ySplit="1" topLeftCell="C2" activePane="bottomRight" state="frozen"/>
      <selection activeCell="A2" sqref="A2"/>
      <selection pane="topRight" activeCell="A2" sqref="A2"/>
      <selection pane="bottomLeft" activeCell="A2" sqref="A2"/>
      <selection pane="bottomRight" activeCell="C1" sqref="C1"/>
    </sheetView>
  </sheetViews>
  <sheetFormatPr defaultRowHeight="15" x14ac:dyDescent="0.25"/>
  <cols>
    <col min="1" max="1" width="5.140625" style="14" bestFit="1" customWidth="1" collapsed="1"/>
    <col min="2" max="2" width="8.7109375" style="14" bestFit="1" customWidth="1" collapsed="1"/>
    <col min="3" max="3" width="40.85546875" style="14" bestFit="1" customWidth="1" collapsed="1"/>
    <col min="4" max="4" width="13.85546875" style="14" bestFit="1" customWidth="1" collapsed="1"/>
    <col min="5" max="6" width="8.7109375" style="14" customWidth="1" collapsed="1"/>
    <col min="7" max="7" width="22" style="14" bestFit="1" customWidth="1" collapsed="1"/>
    <col min="8" max="11" width="22" style="14" customWidth="1" collapsed="1"/>
    <col min="12" max="12" width="117.28515625" style="14" bestFit="1" customWidth="1" collapsed="1"/>
    <col min="13" max="16384" width="9.140625" style="14" collapsed="1"/>
  </cols>
  <sheetData>
    <row r="1" spans="1:13" x14ac:dyDescent="0.25">
      <c r="A1" s="4" t="s">
        <v>0</v>
      </c>
      <c r="B1" s="5" t="s">
        <v>20</v>
      </c>
      <c r="C1" s="5" t="s">
        <v>784</v>
      </c>
      <c r="D1" s="5" t="s">
        <v>87</v>
      </c>
      <c r="E1" s="5" t="s">
        <v>398</v>
      </c>
      <c r="F1" s="5" t="s">
        <v>399</v>
      </c>
      <c r="G1" s="5" t="s">
        <v>275</v>
      </c>
      <c r="H1" s="5" t="s">
        <v>246</v>
      </c>
      <c r="I1" s="5" t="s">
        <v>282</v>
      </c>
      <c r="J1" s="5" t="s">
        <v>281</v>
      </c>
      <c r="K1" s="5" t="s">
        <v>279</v>
      </c>
      <c r="L1" s="5" t="s">
        <v>255</v>
      </c>
    </row>
    <row r="2" spans="1:13" x14ac:dyDescent="0.25">
      <c r="A2" s="2" t="s">
        <v>630</v>
      </c>
      <c r="B2" s="2">
        <v>1</v>
      </c>
      <c r="C2" s="36" t="s">
        <v>891</v>
      </c>
      <c r="D2" s="12" t="s">
        <v>894</v>
      </c>
      <c r="E2"/>
      <c r="F2"/>
      <c r="G2"/>
      <c r="H2"/>
      <c r="I2"/>
      <c r="J2"/>
      <c r="K2"/>
      <c r="L2"/>
    </row>
    <row r="3" spans="1:13" x14ac:dyDescent="0.25">
      <c r="A3" s="2" t="s">
        <v>270</v>
      </c>
      <c r="B3" s="2">
        <v>1</v>
      </c>
      <c r="C3"/>
      <c r="D3"/>
      <c r="E3" s="2" t="s">
        <v>3</v>
      </c>
      <c r="F3" s="2" t="s">
        <v>3</v>
      </c>
      <c r="G3" s="2" t="s">
        <v>276</v>
      </c>
      <c r="H3" s="2" t="s">
        <v>3</v>
      </c>
      <c r="I3"/>
      <c r="J3"/>
      <c r="K3"/>
      <c r="L3" s="2" t="s">
        <v>277</v>
      </c>
    </row>
    <row r="4" spans="1:13" x14ac:dyDescent="0.25">
      <c r="A4" s="2" t="s">
        <v>270</v>
      </c>
      <c r="B4" s="2">
        <v>2</v>
      </c>
      <c r="C4"/>
      <c r="D4"/>
      <c r="E4"/>
      <c r="F4"/>
      <c r="G4"/>
      <c r="H4"/>
      <c r="I4" s="2" t="s">
        <v>276</v>
      </c>
      <c r="J4" s="2" t="s">
        <v>3</v>
      </c>
      <c r="K4"/>
      <c r="L4" s="2" t="s">
        <v>280</v>
      </c>
    </row>
    <row r="5" spans="1:13" x14ac:dyDescent="0.25">
      <c r="A5" s="2" t="s">
        <v>270</v>
      </c>
      <c r="B5" s="2">
        <v>3</v>
      </c>
      <c r="C5"/>
      <c r="D5"/>
      <c r="E5"/>
      <c r="F5"/>
      <c r="G5"/>
      <c r="H5"/>
      <c r="I5" s="2" t="s">
        <v>276</v>
      </c>
      <c r="J5"/>
      <c r="K5" s="2" t="s">
        <v>3</v>
      </c>
      <c r="L5" s="2" t="s">
        <v>283</v>
      </c>
    </row>
    <row r="6" spans="1:13" x14ac:dyDescent="0.25">
      <c r="A6" s="2" t="s">
        <v>292</v>
      </c>
      <c r="B6" s="2">
        <v>1</v>
      </c>
      <c r="C6"/>
      <c r="D6"/>
      <c r="E6"/>
      <c r="F6"/>
      <c r="G6"/>
      <c r="H6"/>
      <c r="I6"/>
      <c r="J6"/>
      <c r="K6"/>
      <c r="L6" s="27" t="s">
        <v>394</v>
      </c>
    </row>
    <row r="7" spans="1:13" x14ac:dyDescent="0.25">
      <c r="A7" s="2" t="s">
        <v>305</v>
      </c>
      <c r="B7" s="2">
        <v>1</v>
      </c>
      <c r="C7"/>
      <c r="D7"/>
      <c r="E7"/>
      <c r="F7"/>
      <c r="G7"/>
      <c r="H7"/>
      <c r="I7"/>
      <c r="J7"/>
      <c r="K7"/>
      <c r="L7" s="27" t="s">
        <v>308</v>
      </c>
    </row>
    <row r="8" spans="1:13" x14ac:dyDescent="0.25">
      <c r="A8" s="2" t="s">
        <v>305</v>
      </c>
      <c r="B8" s="2">
        <v>2</v>
      </c>
      <c r="C8"/>
      <c r="D8"/>
      <c r="E8"/>
      <c r="F8"/>
      <c r="G8"/>
      <c r="H8"/>
      <c r="I8"/>
      <c r="J8"/>
      <c r="K8"/>
      <c r="L8" s="27" t="s">
        <v>309</v>
      </c>
    </row>
    <row r="9" spans="1:13" x14ac:dyDescent="0.25">
      <c r="A9" s="2" t="s">
        <v>311</v>
      </c>
      <c r="B9" s="2">
        <v>1</v>
      </c>
      <c r="C9"/>
      <c r="D9"/>
      <c r="E9"/>
      <c r="F9"/>
      <c r="G9"/>
      <c r="H9"/>
      <c r="I9"/>
      <c r="J9"/>
      <c r="K9"/>
      <c r="L9" s="27" t="str">
        <f>("VERIFYLISTOFPOLICIES"&amp;":::"&amp;D2)</f>
        <v>VERIFYLISTOFPOLICIES:::46WECAA00BE</v>
      </c>
      <c r="M9" s="14" t="s">
        <v>397</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S21"/>
  <sheetViews>
    <sheetView zoomScale="70" zoomScaleNormal="70" workbookViewId="0">
      <selection activeCell="N21" sqref="N21"/>
    </sheetView>
  </sheetViews>
  <sheetFormatPr defaultRowHeight="15" x14ac:dyDescent="0.25"/>
  <cols>
    <col min="1" max="1" width="7.140625" style="1" bestFit="1" customWidth="1" collapsed="1"/>
    <col min="2" max="2" width="8.7109375" style="1" bestFit="1" customWidth="1" collapsed="1"/>
    <col min="3" max="3" width="10.42578125" style="1" bestFit="1" customWidth="1" collapsed="1"/>
    <col min="4" max="4" width="18.42578125" style="1" bestFit="1" customWidth="1" collapsed="1"/>
    <col min="5" max="5" width="21.42578125" style="1" bestFit="1" customWidth="1" collapsed="1"/>
    <col min="6" max="6" width="20.85546875" style="1" bestFit="1" customWidth="1" collapsed="1"/>
    <col min="7" max="7" width="15.85546875" style="1" bestFit="1" customWidth="1" collapsed="1"/>
    <col min="8" max="8" width="15.42578125" style="1" bestFit="1" customWidth="1" collapsed="1"/>
    <col min="9" max="9" width="19.140625" style="1" bestFit="1" customWidth="1" collapsed="1"/>
    <col min="10" max="10" width="10.5703125" style="1" bestFit="1" customWidth="1" collapsed="1"/>
    <col min="11" max="11" width="23" style="1" bestFit="1" customWidth="1" collapsed="1"/>
    <col min="12" max="12" width="18" style="1" bestFit="1" customWidth="1" collapsed="1"/>
    <col min="13" max="13" width="16" style="1" bestFit="1" customWidth="1" collapsed="1"/>
    <col min="14" max="14" width="18.42578125" style="1" customWidth="1" collapsed="1"/>
    <col min="15" max="15" width="30.140625" style="1" customWidth="1" collapsed="1"/>
    <col min="16" max="16" width="18.7109375" style="1" bestFit="1" customWidth="1" collapsed="1"/>
    <col min="17" max="18" width="15.140625" style="1" customWidth="1" collapsed="1"/>
    <col min="19" max="19" width="23.85546875" style="1" bestFit="1" customWidth="1" collapsed="1"/>
    <col min="20" max="16384" width="9.140625" style="1" collapsed="1"/>
  </cols>
  <sheetData>
    <row r="1" spans="1:19" x14ac:dyDescent="0.25">
      <c r="A1" s="4" t="s">
        <v>0</v>
      </c>
      <c r="B1" s="5" t="s">
        <v>20</v>
      </c>
      <c r="C1" s="5" t="s">
        <v>77</v>
      </c>
      <c r="D1" s="5" t="s">
        <v>76</v>
      </c>
      <c r="E1" s="5" t="s">
        <v>75</v>
      </c>
      <c r="F1" s="5" t="s">
        <v>74</v>
      </c>
      <c r="G1" s="5" t="s">
        <v>73</v>
      </c>
      <c r="H1" s="5" t="s">
        <v>72</v>
      </c>
      <c r="I1" s="5" t="s">
        <v>71</v>
      </c>
      <c r="J1" s="5" t="s">
        <v>137</v>
      </c>
      <c r="K1" s="5" t="s">
        <v>638</v>
      </c>
      <c r="L1" s="5" t="s">
        <v>138</v>
      </c>
      <c r="M1" s="5" t="s">
        <v>99</v>
      </c>
      <c r="N1" s="5" t="s">
        <v>655</v>
      </c>
      <c r="O1" s="5" t="s">
        <v>639</v>
      </c>
      <c r="P1" s="5" t="s">
        <v>583</v>
      </c>
      <c r="Q1" s="5" t="s">
        <v>635</v>
      </c>
      <c r="R1" s="5" t="s">
        <v>636</v>
      </c>
      <c r="S1" s="9" t="s">
        <v>269</v>
      </c>
    </row>
    <row r="2" spans="1:19" x14ac:dyDescent="0.25">
      <c r="A2" s="2" t="s">
        <v>1</v>
      </c>
      <c r="B2" s="2">
        <v>1</v>
      </c>
      <c r="C2" s="2"/>
      <c r="D2" s="2"/>
      <c r="E2" s="2"/>
      <c r="F2" s="2"/>
      <c r="G2" s="2"/>
      <c r="H2" s="2"/>
      <c r="I2" s="2"/>
      <c r="J2" s="2"/>
      <c r="K2" s="2"/>
      <c r="L2" s="2"/>
      <c r="M2" s="2"/>
      <c r="N2" s="2"/>
      <c r="O2" s="2"/>
      <c r="P2" s="2"/>
      <c r="Q2" s="2"/>
      <c r="R2" s="2"/>
      <c r="S2" s="2"/>
    </row>
    <row r="3" spans="1:19" x14ac:dyDescent="0.25">
      <c r="A3" s="2" t="s">
        <v>2</v>
      </c>
      <c r="B3" s="2">
        <v>1</v>
      </c>
      <c r="C3" s="6" t="s">
        <v>3</v>
      </c>
      <c r="D3" s="6" t="s">
        <v>3</v>
      </c>
      <c r="E3" s="6"/>
      <c r="F3" s="2"/>
      <c r="G3" s="6"/>
      <c r="H3" s="6"/>
      <c r="I3" s="12"/>
      <c r="J3" s="22"/>
      <c r="K3" s="22" t="s">
        <v>3</v>
      </c>
      <c r="L3" s="12" t="s">
        <v>139</v>
      </c>
      <c r="M3" s="12" t="s">
        <v>100</v>
      </c>
      <c r="N3" s="6" t="s">
        <v>657</v>
      </c>
      <c r="O3" s="2" t="s">
        <v>643</v>
      </c>
      <c r="P3" s="6"/>
      <c r="Q3" s="6"/>
      <c r="R3" s="6"/>
      <c r="S3" s="2"/>
    </row>
    <row r="4" spans="1:19" x14ac:dyDescent="0.25">
      <c r="A4" s="2" t="s">
        <v>16</v>
      </c>
      <c r="B4" s="2">
        <v>1</v>
      </c>
      <c r="C4" s="6" t="s">
        <v>3</v>
      </c>
      <c r="D4" s="6" t="s">
        <v>3</v>
      </c>
      <c r="E4" s="6"/>
      <c r="F4" s="2"/>
      <c r="G4" s="6"/>
      <c r="H4" s="6"/>
      <c r="I4" s="12"/>
      <c r="J4" s="22"/>
      <c r="K4" s="22" t="s">
        <v>3</v>
      </c>
      <c r="L4" s="12" t="s">
        <v>139</v>
      </c>
      <c r="M4" s="12" t="s">
        <v>100</v>
      </c>
      <c r="N4" s="6" t="s">
        <v>657</v>
      </c>
      <c r="O4" s="2" t="s">
        <v>643</v>
      </c>
      <c r="P4" s="6"/>
      <c r="Q4" s="6"/>
      <c r="R4" s="6"/>
      <c r="S4" s="2"/>
    </row>
    <row r="5" spans="1:19" x14ac:dyDescent="0.25">
      <c r="A5" s="2" t="s">
        <v>691</v>
      </c>
      <c r="B5" s="2">
        <v>1</v>
      </c>
      <c r="C5" s="6" t="s">
        <v>3</v>
      </c>
      <c r="D5" s="6" t="s">
        <v>3</v>
      </c>
      <c r="E5" s="6"/>
      <c r="F5" s="2"/>
      <c r="G5" s="6"/>
      <c r="H5" s="6"/>
      <c r="I5" s="12"/>
      <c r="J5" s="22"/>
      <c r="K5" s="22" t="s">
        <v>3</v>
      </c>
      <c r="L5" s="12" t="s">
        <v>139</v>
      </c>
      <c r="M5" s="12" t="s">
        <v>100</v>
      </c>
      <c r="N5" s="6" t="s">
        <v>657</v>
      </c>
      <c r="O5" s="2" t="s">
        <v>643</v>
      </c>
      <c r="P5" s="6"/>
      <c r="Q5" s="6"/>
      <c r="R5" s="6"/>
      <c r="S5" s="2"/>
    </row>
    <row r="6" spans="1:19" x14ac:dyDescent="0.25">
      <c r="A6" s="2" t="s">
        <v>333</v>
      </c>
      <c r="B6" s="2">
        <v>1</v>
      </c>
      <c r="C6" s="6" t="s">
        <v>3</v>
      </c>
      <c r="D6" s="6" t="s">
        <v>3</v>
      </c>
      <c r="E6" s="6"/>
      <c r="F6" s="2"/>
      <c r="G6" s="6"/>
      <c r="H6" s="6"/>
      <c r="I6" s="12"/>
      <c r="J6" s="22"/>
      <c r="K6" s="22" t="s">
        <v>3</v>
      </c>
      <c r="L6" s="12" t="s">
        <v>139</v>
      </c>
      <c r="M6" s="12" t="s">
        <v>100</v>
      </c>
      <c r="N6" s="6" t="s">
        <v>657</v>
      </c>
      <c r="O6" s="2" t="s">
        <v>643</v>
      </c>
      <c r="P6" s="6"/>
      <c r="Q6" s="6"/>
      <c r="R6" s="6"/>
      <c r="S6" s="2"/>
    </row>
    <row r="7" spans="1:19" x14ac:dyDescent="0.25">
      <c r="A7" s="2" t="s">
        <v>346</v>
      </c>
      <c r="B7" s="2">
        <v>1</v>
      </c>
      <c r="C7" s="6" t="s">
        <v>3</v>
      </c>
      <c r="D7" s="6" t="s">
        <v>3</v>
      </c>
      <c r="E7" s="6"/>
      <c r="F7" s="2"/>
      <c r="G7" s="6"/>
      <c r="H7" s="6"/>
      <c r="I7" s="12"/>
      <c r="J7" s="22"/>
      <c r="K7" s="22" t="s">
        <v>3</v>
      </c>
      <c r="L7" s="12" t="s">
        <v>139</v>
      </c>
      <c r="M7" s="12" t="s">
        <v>100</v>
      </c>
      <c r="N7" s="6" t="s">
        <v>657</v>
      </c>
      <c r="O7" s="2" t="s">
        <v>643</v>
      </c>
      <c r="P7" s="6"/>
      <c r="Q7" s="6"/>
      <c r="R7" s="6"/>
      <c r="S7" s="2"/>
    </row>
    <row r="8" spans="1:19" x14ac:dyDescent="0.25">
      <c r="A8" s="2" t="s">
        <v>347</v>
      </c>
      <c r="B8" s="2">
        <v>1</v>
      </c>
      <c r="C8" s="6" t="s">
        <v>3</v>
      </c>
      <c r="D8" s="6" t="s">
        <v>3</v>
      </c>
      <c r="E8" s="6"/>
      <c r="F8" s="2"/>
      <c r="G8" s="6"/>
      <c r="H8" s="6"/>
      <c r="I8" s="12"/>
      <c r="J8" s="22"/>
      <c r="K8" s="22" t="s">
        <v>3</v>
      </c>
      <c r="L8" s="12" t="s">
        <v>139</v>
      </c>
      <c r="M8" s="12" t="s">
        <v>100</v>
      </c>
      <c r="N8" s="6" t="s">
        <v>657</v>
      </c>
      <c r="O8" s="2" t="s">
        <v>643</v>
      </c>
      <c r="P8" s="6"/>
      <c r="Q8" s="6"/>
      <c r="R8" s="6"/>
      <c r="S8" s="2"/>
    </row>
    <row r="9" spans="1:19" x14ac:dyDescent="0.25">
      <c r="A9" s="2" t="s">
        <v>383</v>
      </c>
      <c r="B9" s="2">
        <v>1</v>
      </c>
      <c r="C9" s="6" t="s">
        <v>3</v>
      </c>
      <c r="D9" s="6" t="s">
        <v>3</v>
      </c>
      <c r="E9" s="6"/>
      <c r="F9" s="2"/>
      <c r="G9" s="6"/>
      <c r="H9" s="6"/>
      <c r="I9" s="12"/>
      <c r="J9" s="22"/>
      <c r="K9" s="22" t="s">
        <v>3</v>
      </c>
      <c r="L9" s="12" t="s">
        <v>139</v>
      </c>
      <c r="M9" s="12" t="s">
        <v>100</v>
      </c>
      <c r="N9" s="6" t="s">
        <v>657</v>
      </c>
      <c r="O9" s="2" t="s">
        <v>643</v>
      </c>
      <c r="P9" s="6"/>
      <c r="Q9" s="6"/>
      <c r="R9" s="6"/>
      <c r="S9" s="2"/>
    </row>
    <row r="10" spans="1:19" x14ac:dyDescent="0.25">
      <c r="A10" s="2" t="s">
        <v>353</v>
      </c>
      <c r="B10" s="2">
        <v>1</v>
      </c>
      <c r="C10" s="6" t="s">
        <v>3</v>
      </c>
      <c r="D10" s="6" t="s">
        <v>3</v>
      </c>
      <c r="E10" s="6"/>
      <c r="F10" s="2"/>
      <c r="G10" s="6"/>
      <c r="H10" s="6"/>
      <c r="I10" s="12"/>
      <c r="J10" s="22"/>
      <c r="K10" s="22" t="s">
        <v>3</v>
      </c>
      <c r="L10" s="12" t="s">
        <v>139</v>
      </c>
      <c r="M10" s="12" t="s">
        <v>100</v>
      </c>
      <c r="N10" s="6" t="s">
        <v>657</v>
      </c>
      <c r="O10" s="2" t="s">
        <v>643</v>
      </c>
      <c r="P10" s="6"/>
      <c r="Q10" s="6"/>
      <c r="R10" s="6"/>
      <c r="S10" s="2"/>
    </row>
    <row r="11" spans="1:19" x14ac:dyDescent="0.25">
      <c r="A11" s="2" t="s">
        <v>630</v>
      </c>
      <c r="B11" s="2">
        <v>1</v>
      </c>
      <c r="C11" s="6" t="s">
        <v>3</v>
      </c>
      <c r="D11" s="6" t="s">
        <v>3</v>
      </c>
      <c r="E11" s="6"/>
      <c r="F11" s="2"/>
      <c r="G11" s="6"/>
      <c r="H11" s="6"/>
      <c r="I11" s="12"/>
      <c r="J11" s="22"/>
      <c r="K11" s="22" t="s">
        <v>3</v>
      </c>
      <c r="L11" s="12" t="s">
        <v>139</v>
      </c>
      <c r="M11" s="12" t="s">
        <v>100</v>
      </c>
      <c r="N11" s="6" t="s">
        <v>657</v>
      </c>
      <c r="O11" s="2" t="s">
        <v>643</v>
      </c>
      <c r="P11" s="6"/>
      <c r="Q11" s="6"/>
      <c r="R11" s="6"/>
      <c r="S11" s="2"/>
    </row>
    <row r="12" spans="1:19" x14ac:dyDescent="0.25">
      <c r="A12" s="2" t="s">
        <v>603</v>
      </c>
      <c r="B12" s="2">
        <v>1</v>
      </c>
      <c r="C12" s="6" t="s">
        <v>3</v>
      </c>
      <c r="D12" s="6" t="s">
        <v>3</v>
      </c>
      <c r="E12" s="6"/>
      <c r="F12" s="2"/>
      <c r="G12" s="6"/>
      <c r="H12" s="6"/>
      <c r="I12" s="12"/>
      <c r="J12" s="22"/>
      <c r="K12" s="22" t="s">
        <v>3</v>
      </c>
      <c r="L12" s="12" t="s">
        <v>139</v>
      </c>
      <c r="M12" s="12" t="s">
        <v>100</v>
      </c>
      <c r="N12" s="6" t="s">
        <v>657</v>
      </c>
      <c r="O12" s="2" t="s">
        <v>643</v>
      </c>
      <c r="P12" s="6"/>
      <c r="Q12" s="6"/>
      <c r="R12" s="6"/>
      <c r="S12" s="2"/>
    </row>
    <row r="13" spans="1:19" x14ac:dyDescent="0.25">
      <c r="A13" s="2" t="s">
        <v>576</v>
      </c>
      <c r="B13" s="2">
        <v>1</v>
      </c>
      <c r="C13" s="6" t="s">
        <v>3</v>
      </c>
      <c r="D13" s="6" t="s">
        <v>3</v>
      </c>
      <c r="E13" s="6"/>
      <c r="F13" s="2"/>
      <c r="G13" s="6"/>
      <c r="H13" s="6"/>
      <c r="I13" s="12"/>
      <c r="J13" s="22"/>
      <c r="K13" s="22" t="s">
        <v>3</v>
      </c>
      <c r="L13" s="12" t="s">
        <v>139</v>
      </c>
      <c r="M13" s="12" t="s">
        <v>100</v>
      </c>
      <c r="N13" s="6" t="s">
        <v>656</v>
      </c>
      <c r="O13" s="2" t="s">
        <v>654</v>
      </c>
      <c r="P13" s="6"/>
      <c r="Q13" s="6"/>
      <c r="R13" s="6"/>
      <c r="S13" s="2"/>
    </row>
    <row r="14" spans="1:19" x14ac:dyDescent="0.25">
      <c r="A14" s="2" t="s">
        <v>879</v>
      </c>
      <c r="B14" s="2">
        <v>1</v>
      </c>
      <c r="C14" s="6" t="s">
        <v>3</v>
      </c>
      <c r="D14" s="6" t="s">
        <v>3</v>
      </c>
      <c r="E14" s="6"/>
      <c r="F14" s="2"/>
      <c r="G14" s="6"/>
      <c r="H14" s="6"/>
      <c r="I14" s="12"/>
      <c r="J14" s="22"/>
      <c r="K14" s="22" t="s">
        <v>3</v>
      </c>
      <c r="L14" s="12" t="s">
        <v>139</v>
      </c>
      <c r="M14" s="12" t="s">
        <v>100</v>
      </c>
      <c r="N14" s="6" t="s">
        <v>657</v>
      </c>
      <c r="O14" s="2" t="s">
        <v>643</v>
      </c>
      <c r="P14" s="6"/>
      <c r="Q14" s="6"/>
      <c r="R14" s="6"/>
      <c r="S14" s="2"/>
    </row>
    <row r="15" spans="1:19" x14ac:dyDescent="0.25">
      <c r="A15" s="2" t="s">
        <v>750</v>
      </c>
      <c r="B15" s="2">
        <v>1</v>
      </c>
      <c r="C15" s="6" t="s">
        <v>3</v>
      </c>
      <c r="D15" s="6" t="s">
        <v>3</v>
      </c>
      <c r="E15" s="6"/>
      <c r="F15" s="2"/>
      <c r="G15" s="6"/>
      <c r="H15" s="6"/>
      <c r="I15" s="12"/>
      <c r="J15" s="22"/>
      <c r="K15" s="22" t="s">
        <v>3</v>
      </c>
      <c r="L15" s="12" t="s">
        <v>139</v>
      </c>
      <c r="M15" s="12" t="s">
        <v>100</v>
      </c>
      <c r="N15" s="6" t="s">
        <v>656</v>
      </c>
      <c r="O15" s="2" t="s">
        <v>898</v>
      </c>
      <c r="P15" s="6"/>
      <c r="Q15" s="6"/>
      <c r="R15" s="6"/>
      <c r="S15" s="2"/>
    </row>
    <row r="16" spans="1:19" x14ac:dyDescent="0.25">
      <c r="A16" s="2" t="s">
        <v>751</v>
      </c>
      <c r="B16" s="2">
        <v>1</v>
      </c>
      <c r="C16" s="6" t="s">
        <v>3</v>
      </c>
      <c r="D16" s="6" t="s">
        <v>3</v>
      </c>
      <c r="E16" s="6"/>
      <c r="F16" s="2"/>
      <c r="G16" s="6"/>
      <c r="H16" s="6"/>
      <c r="I16" s="12"/>
      <c r="J16" s="22"/>
      <c r="K16" s="22" t="s">
        <v>3</v>
      </c>
      <c r="L16" s="12" t="s">
        <v>139</v>
      </c>
      <c r="M16" s="12" t="s">
        <v>100</v>
      </c>
      <c r="N16" s="6" t="s">
        <v>656</v>
      </c>
      <c r="O16" s="2" t="s">
        <v>898</v>
      </c>
      <c r="P16" s="6"/>
      <c r="Q16" s="6"/>
      <c r="R16" s="6"/>
      <c r="S16" s="2"/>
    </row>
    <row r="17" spans="1:19" x14ac:dyDescent="0.25">
      <c r="A17" s="2" t="s">
        <v>752</v>
      </c>
      <c r="B17" s="2">
        <v>1</v>
      </c>
      <c r="C17" s="6" t="s">
        <v>3</v>
      </c>
      <c r="D17" s="6" t="s">
        <v>3</v>
      </c>
      <c r="E17" s="6"/>
      <c r="F17" s="2"/>
      <c r="G17" s="6"/>
      <c r="H17" s="6"/>
      <c r="I17" s="12"/>
      <c r="J17" s="22"/>
      <c r="K17" s="22" t="s">
        <v>3</v>
      </c>
      <c r="L17" s="12" t="s">
        <v>139</v>
      </c>
      <c r="M17" s="12" t="s">
        <v>100</v>
      </c>
      <c r="N17" s="6" t="s">
        <v>656</v>
      </c>
      <c r="O17" s="2" t="s">
        <v>898</v>
      </c>
      <c r="P17" s="6"/>
      <c r="Q17" s="6"/>
      <c r="R17" s="6"/>
      <c r="S17" s="2"/>
    </row>
    <row r="18" spans="1:19" x14ac:dyDescent="0.25">
      <c r="A18" s="2" t="s">
        <v>917</v>
      </c>
      <c r="B18" s="2">
        <v>1</v>
      </c>
      <c r="C18" s="6" t="s">
        <v>3</v>
      </c>
      <c r="D18" s="6" t="s">
        <v>3</v>
      </c>
      <c r="E18" s="6"/>
      <c r="F18" s="2"/>
      <c r="G18" s="6"/>
      <c r="H18" s="6"/>
      <c r="I18" s="12"/>
      <c r="J18" s="22"/>
      <c r="K18" s="22" t="s">
        <v>3</v>
      </c>
      <c r="L18" s="12" t="s">
        <v>139</v>
      </c>
      <c r="M18" s="12" t="s">
        <v>100</v>
      </c>
      <c r="N18" s="6" t="s">
        <v>656</v>
      </c>
      <c r="O18" s="2" t="s">
        <v>898</v>
      </c>
      <c r="P18" s="6"/>
      <c r="Q18" s="6"/>
      <c r="R18" s="6"/>
      <c r="S18" s="2"/>
    </row>
    <row r="19" spans="1:19" x14ac:dyDescent="0.25">
      <c r="A19" s="2" t="s">
        <v>918</v>
      </c>
      <c r="B19" s="2">
        <v>1</v>
      </c>
      <c r="C19" s="6" t="s">
        <v>3</v>
      </c>
      <c r="D19" s="6" t="s">
        <v>3</v>
      </c>
      <c r="E19" s="6"/>
      <c r="F19" s="2"/>
      <c r="G19" s="6"/>
      <c r="H19" s="6"/>
      <c r="I19" s="12"/>
      <c r="J19" s="22"/>
      <c r="K19" s="22" t="s">
        <v>3</v>
      </c>
      <c r="L19" s="12" t="s">
        <v>139</v>
      </c>
      <c r="M19" s="12" t="s">
        <v>100</v>
      </c>
      <c r="N19" s="6" t="s">
        <v>656</v>
      </c>
      <c r="O19" s="2" t="s">
        <v>898</v>
      </c>
      <c r="P19" s="6"/>
      <c r="Q19" s="6"/>
      <c r="R19" s="6"/>
      <c r="S19" s="2"/>
    </row>
    <row r="20" spans="1:19" x14ac:dyDescent="0.25">
      <c r="A20" s="2" t="s">
        <v>1104</v>
      </c>
      <c r="B20" s="2">
        <v>1</v>
      </c>
      <c r="C20" s="6" t="s">
        <v>3</v>
      </c>
      <c r="D20" s="6" t="s">
        <v>3</v>
      </c>
      <c r="E20" s="6"/>
      <c r="F20" s="2"/>
      <c r="G20" s="6"/>
      <c r="H20" s="6"/>
      <c r="I20" s="12"/>
      <c r="J20" s="22"/>
      <c r="K20" s="22" t="s">
        <v>3</v>
      </c>
      <c r="L20" s="12" t="s">
        <v>139</v>
      </c>
      <c r="M20" s="12" t="s">
        <v>100</v>
      </c>
      <c r="N20" s="6" t="s">
        <v>657</v>
      </c>
      <c r="O20" s="2" t="s">
        <v>643</v>
      </c>
      <c r="P20" s="6"/>
      <c r="Q20" s="6"/>
      <c r="R20" s="6"/>
      <c r="S20" s="2"/>
    </row>
    <row r="21" spans="1:19" x14ac:dyDescent="0.25">
      <c r="A21" s="2" t="s">
        <v>1105</v>
      </c>
      <c r="B21" s="2">
        <v>1</v>
      </c>
      <c r="C21" s="6" t="s">
        <v>3</v>
      </c>
      <c r="D21" s="6" t="s">
        <v>3</v>
      </c>
      <c r="E21" s="6"/>
      <c r="F21" s="2"/>
      <c r="G21" s="6"/>
      <c r="H21" s="6"/>
      <c r="I21" s="12"/>
      <c r="J21" s="22"/>
      <c r="K21" s="22" t="s">
        <v>3</v>
      </c>
      <c r="L21" s="12" t="s">
        <v>139</v>
      </c>
      <c r="M21" s="12" t="s">
        <v>100</v>
      </c>
      <c r="N21" s="6" t="s">
        <v>656</v>
      </c>
      <c r="O21" s="2" t="s">
        <v>898</v>
      </c>
      <c r="P21" s="6"/>
      <c r="Q21" s="6"/>
      <c r="R21" s="6"/>
      <c r="S21" s="2"/>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S17"/>
  <sheetViews>
    <sheetView zoomScale="85" zoomScaleNormal="85" workbookViewId="0">
      <selection activeCell="A18" sqref="A18"/>
    </sheetView>
  </sheetViews>
  <sheetFormatPr defaultRowHeight="15" x14ac:dyDescent="0.25"/>
  <cols>
    <col min="1" max="1" width="7.140625" style="1" bestFit="1" customWidth="1" collapsed="1"/>
    <col min="2" max="2" width="8.7109375" style="1" bestFit="1" customWidth="1" collapsed="1"/>
    <col min="3" max="3" width="22" style="1" bestFit="1" customWidth="1" collapsed="1"/>
    <col min="4" max="5" width="16" style="1" bestFit="1" customWidth="1" collapsed="1"/>
    <col min="6" max="7" width="14" style="1" bestFit="1" customWidth="1" collapsed="1"/>
    <col min="8" max="12" width="14" style="1" customWidth="1" collapsed="1"/>
    <col min="13" max="13" width="10.7109375" style="1" bestFit="1" customWidth="1" collapsed="1"/>
    <col min="14" max="14" width="14.42578125" style="1" bestFit="1" customWidth="1" collapsed="1"/>
    <col min="15" max="15" width="19.5703125" style="1" bestFit="1" customWidth="1" collapsed="1"/>
    <col min="16" max="17" width="19.5703125" style="1" customWidth="1" collapsed="1"/>
    <col min="18" max="18" width="14.28515625" style="1" bestFit="1" customWidth="1" collapsed="1"/>
    <col min="19" max="19" width="8.140625" style="1" bestFit="1" customWidth="1" collapsed="1"/>
    <col min="20" max="16384" width="9.140625" style="1" collapsed="1"/>
  </cols>
  <sheetData>
    <row r="1" spans="1:19" x14ac:dyDescent="0.25">
      <c r="A1" s="4" t="s">
        <v>0</v>
      </c>
      <c r="B1" s="5" t="s">
        <v>20</v>
      </c>
      <c r="C1" s="5" t="s">
        <v>81</v>
      </c>
      <c r="D1" s="5" t="s">
        <v>82</v>
      </c>
      <c r="E1" s="5" t="s">
        <v>84</v>
      </c>
      <c r="F1" s="5" t="s">
        <v>85</v>
      </c>
      <c r="G1" s="5" t="s">
        <v>85</v>
      </c>
      <c r="H1" s="5" t="s">
        <v>92</v>
      </c>
      <c r="I1" s="5" t="s">
        <v>101</v>
      </c>
      <c r="J1" s="5" t="s">
        <v>102</v>
      </c>
      <c r="K1" s="5" t="s">
        <v>103</v>
      </c>
      <c r="L1" s="5" t="s">
        <v>106</v>
      </c>
      <c r="M1" s="5" t="s">
        <v>80</v>
      </c>
      <c r="N1" s="5" t="s">
        <v>107</v>
      </c>
      <c r="O1" s="5" t="s">
        <v>108</v>
      </c>
      <c r="P1" s="5" t="s">
        <v>140</v>
      </c>
      <c r="Q1" s="5" t="s">
        <v>121</v>
      </c>
      <c r="R1" s="5" t="s">
        <v>53</v>
      </c>
      <c r="S1" s="5" t="s">
        <v>52</v>
      </c>
    </row>
    <row r="2" spans="1:19" x14ac:dyDescent="0.25">
      <c r="A2" s="2" t="s">
        <v>1</v>
      </c>
      <c r="B2" s="6">
        <v>1</v>
      </c>
      <c r="C2" s="2"/>
      <c r="D2" s="2"/>
      <c r="E2" s="2"/>
      <c r="F2" s="2"/>
      <c r="G2" s="2"/>
      <c r="H2" s="2"/>
      <c r="I2" s="2"/>
      <c r="J2" s="2"/>
      <c r="K2" s="2"/>
      <c r="L2" s="2"/>
      <c r="M2" s="2"/>
      <c r="N2" s="2"/>
      <c r="O2" s="2"/>
      <c r="P2" s="2"/>
      <c r="Q2" s="2"/>
      <c r="R2" s="2"/>
      <c r="S2" s="2"/>
    </row>
    <row r="3" spans="1:19" x14ac:dyDescent="0.25">
      <c r="A3" s="2" t="s">
        <v>2</v>
      </c>
      <c r="B3" s="6">
        <v>1</v>
      </c>
      <c r="C3" s="2"/>
      <c r="D3" s="13"/>
      <c r="E3" s="2"/>
      <c r="F3" s="2"/>
      <c r="G3" s="2"/>
      <c r="H3" s="16">
        <v>2499</v>
      </c>
      <c r="I3" s="16">
        <v>321999</v>
      </c>
      <c r="J3" s="13" t="s">
        <v>104</v>
      </c>
      <c r="K3" s="13" t="s">
        <v>105</v>
      </c>
      <c r="L3" s="15" t="s">
        <v>109</v>
      </c>
      <c r="M3" s="25" t="s">
        <v>191</v>
      </c>
      <c r="N3" s="2" t="s">
        <v>110</v>
      </c>
      <c r="O3" s="2" t="s">
        <v>111</v>
      </c>
      <c r="P3" s="1" t="s">
        <v>141</v>
      </c>
      <c r="Q3" s="17" t="s">
        <v>122</v>
      </c>
      <c r="R3" s="2"/>
      <c r="S3" s="2" t="s">
        <v>3</v>
      </c>
    </row>
    <row r="4" spans="1:19" x14ac:dyDescent="0.25">
      <c r="A4" s="2" t="s">
        <v>16</v>
      </c>
      <c r="B4" s="6">
        <v>1</v>
      </c>
      <c r="C4" s="2"/>
      <c r="D4" s="13"/>
      <c r="E4" s="2"/>
      <c r="F4" s="2"/>
      <c r="G4" s="2"/>
      <c r="H4" s="16">
        <v>2499</v>
      </c>
      <c r="I4" s="16">
        <v>321999</v>
      </c>
      <c r="J4" s="13" t="s">
        <v>104</v>
      </c>
      <c r="K4" s="13" t="s">
        <v>105</v>
      </c>
      <c r="L4" s="15" t="s">
        <v>109</v>
      </c>
      <c r="M4" s="25" t="s">
        <v>191</v>
      </c>
      <c r="N4" s="2" t="s">
        <v>110</v>
      </c>
      <c r="O4" s="2" t="s">
        <v>111</v>
      </c>
      <c r="P4" s="1" t="s">
        <v>141</v>
      </c>
      <c r="Q4" s="17" t="s">
        <v>122</v>
      </c>
      <c r="R4" s="2"/>
      <c r="S4" s="2" t="s">
        <v>3</v>
      </c>
    </row>
    <row r="5" spans="1:19" x14ac:dyDescent="0.25">
      <c r="A5" s="2" t="s">
        <v>691</v>
      </c>
      <c r="B5" s="6">
        <v>1</v>
      </c>
      <c r="C5" s="2"/>
      <c r="D5" s="13"/>
      <c r="E5" s="2"/>
      <c r="F5" s="2"/>
      <c r="G5" s="2"/>
      <c r="H5" s="16">
        <v>2499</v>
      </c>
      <c r="I5" s="16">
        <v>321999</v>
      </c>
      <c r="J5" s="13" t="s">
        <v>104</v>
      </c>
      <c r="K5" s="13" t="s">
        <v>105</v>
      </c>
      <c r="L5" s="15" t="s">
        <v>109</v>
      </c>
      <c r="M5" s="25" t="s">
        <v>191</v>
      </c>
      <c r="N5" s="2" t="s">
        <v>110</v>
      </c>
      <c r="O5" s="2" t="s">
        <v>111</v>
      </c>
      <c r="P5" s="1" t="s">
        <v>141</v>
      </c>
      <c r="Q5" s="17" t="s">
        <v>122</v>
      </c>
      <c r="R5" s="2"/>
      <c r="S5" s="2" t="s">
        <v>3</v>
      </c>
    </row>
    <row r="6" spans="1:19" x14ac:dyDescent="0.25">
      <c r="A6" s="2" t="s">
        <v>333</v>
      </c>
      <c r="B6" s="6">
        <v>1</v>
      </c>
      <c r="C6" s="2"/>
      <c r="D6" s="13"/>
      <c r="E6" s="2"/>
      <c r="F6" s="2"/>
      <c r="G6" s="2"/>
      <c r="H6" s="16">
        <v>2499</v>
      </c>
      <c r="I6" s="16">
        <v>321999</v>
      </c>
      <c r="J6" s="13" t="s">
        <v>104</v>
      </c>
      <c r="K6" s="13" t="s">
        <v>105</v>
      </c>
      <c r="L6" s="15" t="s">
        <v>109</v>
      </c>
      <c r="M6" s="25" t="s">
        <v>191</v>
      </c>
      <c r="N6" s="2" t="s">
        <v>110</v>
      </c>
      <c r="O6" s="2" t="s">
        <v>111</v>
      </c>
      <c r="P6" s="1" t="s">
        <v>141</v>
      </c>
      <c r="Q6" s="17" t="s">
        <v>122</v>
      </c>
      <c r="R6" s="2"/>
      <c r="S6" s="2" t="s">
        <v>3</v>
      </c>
    </row>
    <row r="7" spans="1:19" x14ac:dyDescent="0.25">
      <c r="A7" s="2" t="s">
        <v>90</v>
      </c>
      <c r="B7" s="6">
        <v>1</v>
      </c>
      <c r="C7" s="2" t="s">
        <v>3</v>
      </c>
      <c r="D7" s="13" t="s">
        <v>83</v>
      </c>
      <c r="E7" s="2" t="s">
        <v>3</v>
      </c>
      <c r="F7" s="2" t="s">
        <v>3</v>
      </c>
      <c r="G7" s="2" t="s">
        <v>3</v>
      </c>
      <c r="H7" s="2"/>
      <c r="I7" s="2"/>
      <c r="J7" s="2"/>
      <c r="K7" s="2"/>
      <c r="L7" s="2"/>
      <c r="M7" s="25" t="s">
        <v>191</v>
      </c>
      <c r="N7" s="2"/>
      <c r="O7" s="2"/>
      <c r="P7" s="2"/>
      <c r="Q7" s="2"/>
      <c r="R7" s="2"/>
      <c r="S7" s="2" t="s">
        <v>3</v>
      </c>
    </row>
    <row r="8" spans="1:19" x14ac:dyDescent="0.25">
      <c r="A8" s="2" t="s">
        <v>91</v>
      </c>
      <c r="B8" s="6">
        <v>1</v>
      </c>
      <c r="C8" s="2" t="s">
        <v>3</v>
      </c>
      <c r="D8" s="13" t="s">
        <v>83</v>
      </c>
      <c r="E8" s="2" t="s">
        <v>3</v>
      </c>
      <c r="F8" s="2" t="s">
        <v>3</v>
      </c>
      <c r="G8" s="2" t="s">
        <v>3</v>
      </c>
      <c r="H8" s="2"/>
      <c r="I8" s="2"/>
      <c r="J8" s="2"/>
      <c r="K8" s="2"/>
      <c r="L8" s="2"/>
      <c r="M8" s="25" t="s">
        <v>191</v>
      </c>
      <c r="N8" s="2"/>
      <c r="O8" s="2"/>
      <c r="P8" s="2"/>
      <c r="Q8" s="2"/>
      <c r="R8" s="2"/>
      <c r="S8" s="2" t="s">
        <v>3</v>
      </c>
    </row>
    <row r="9" spans="1:19" x14ac:dyDescent="0.25">
      <c r="A9" s="2" t="s">
        <v>346</v>
      </c>
      <c r="B9" s="6">
        <v>1</v>
      </c>
      <c r="C9" s="2"/>
      <c r="D9" s="13"/>
      <c r="E9" s="2"/>
      <c r="F9" s="2"/>
      <c r="G9" s="2"/>
      <c r="H9" s="16">
        <v>2499</v>
      </c>
      <c r="I9" s="16">
        <v>321999</v>
      </c>
      <c r="J9" s="13" t="s">
        <v>104</v>
      </c>
      <c r="K9" s="13" t="s">
        <v>105</v>
      </c>
      <c r="L9" s="15" t="s">
        <v>109</v>
      </c>
      <c r="M9" s="25" t="s">
        <v>191</v>
      </c>
      <c r="N9" s="2" t="s">
        <v>110</v>
      </c>
      <c r="O9" s="2" t="s">
        <v>111</v>
      </c>
      <c r="P9" s="1" t="s">
        <v>141</v>
      </c>
      <c r="Q9" s="17" t="s">
        <v>122</v>
      </c>
      <c r="R9" s="2"/>
      <c r="S9" s="2" t="s">
        <v>3</v>
      </c>
    </row>
    <row r="10" spans="1:19" x14ac:dyDescent="0.25">
      <c r="A10" s="2" t="s">
        <v>347</v>
      </c>
      <c r="B10" s="6">
        <v>1</v>
      </c>
      <c r="C10" s="2"/>
      <c r="D10" s="13"/>
      <c r="E10" s="2"/>
      <c r="F10" s="2"/>
      <c r="G10" s="2"/>
      <c r="H10" s="16">
        <v>2499</v>
      </c>
      <c r="I10" s="16">
        <v>321999</v>
      </c>
      <c r="J10" s="13" t="s">
        <v>104</v>
      </c>
      <c r="K10" s="13" t="s">
        <v>105</v>
      </c>
      <c r="L10" s="15" t="s">
        <v>109</v>
      </c>
      <c r="M10" s="25" t="s">
        <v>191</v>
      </c>
      <c r="N10" s="2" t="s">
        <v>110</v>
      </c>
      <c r="O10" s="2" t="s">
        <v>111</v>
      </c>
      <c r="P10" s="1" t="s">
        <v>141</v>
      </c>
      <c r="Q10" s="17" t="s">
        <v>122</v>
      </c>
      <c r="R10" s="2"/>
      <c r="S10" s="2" t="s">
        <v>3</v>
      </c>
    </row>
    <row r="11" spans="1:19" x14ac:dyDescent="0.25">
      <c r="A11" s="2" t="s">
        <v>383</v>
      </c>
      <c r="B11" s="6">
        <v>1</v>
      </c>
      <c r="C11" s="2"/>
      <c r="D11" s="13"/>
      <c r="E11" s="2"/>
      <c r="F11" s="2"/>
      <c r="G11" s="2"/>
      <c r="H11" s="16">
        <v>2499</v>
      </c>
      <c r="I11" s="16">
        <v>321999</v>
      </c>
      <c r="J11" s="13" t="s">
        <v>104</v>
      </c>
      <c r="K11" s="13" t="s">
        <v>105</v>
      </c>
      <c r="L11" s="15" t="s">
        <v>109</v>
      </c>
      <c r="M11" s="25" t="s">
        <v>191</v>
      </c>
      <c r="N11" s="2" t="s">
        <v>110</v>
      </c>
      <c r="O11" s="2" t="s">
        <v>111</v>
      </c>
      <c r="P11" s="1" t="s">
        <v>141</v>
      </c>
      <c r="Q11" s="17" t="s">
        <v>122</v>
      </c>
      <c r="R11" s="2"/>
      <c r="S11" s="2" t="s">
        <v>3</v>
      </c>
    </row>
    <row r="12" spans="1:19" x14ac:dyDescent="0.25">
      <c r="A12" s="2" t="s">
        <v>353</v>
      </c>
      <c r="B12" s="6">
        <v>1</v>
      </c>
      <c r="C12" s="2"/>
      <c r="D12" s="13"/>
      <c r="E12" s="2"/>
      <c r="F12" s="2"/>
      <c r="G12" s="2"/>
      <c r="H12" s="16">
        <v>2499</v>
      </c>
      <c r="I12" s="16">
        <v>321999</v>
      </c>
      <c r="J12" s="13" t="s">
        <v>104</v>
      </c>
      <c r="K12" s="13" t="s">
        <v>105</v>
      </c>
      <c r="L12" s="15" t="s">
        <v>109</v>
      </c>
      <c r="M12" s="25" t="s">
        <v>191</v>
      </c>
      <c r="N12" s="2" t="s">
        <v>110</v>
      </c>
      <c r="O12" s="2" t="s">
        <v>111</v>
      </c>
      <c r="P12" s="1" t="s">
        <v>141</v>
      </c>
      <c r="Q12" s="17" t="s">
        <v>122</v>
      </c>
      <c r="R12" s="2"/>
      <c r="S12" s="2" t="s">
        <v>3</v>
      </c>
    </row>
    <row r="13" spans="1:19" x14ac:dyDescent="0.25">
      <c r="A13" s="2" t="s">
        <v>630</v>
      </c>
      <c r="B13" s="6">
        <v>1</v>
      </c>
      <c r="C13" s="2"/>
      <c r="D13" s="13"/>
      <c r="E13" s="2"/>
      <c r="F13" s="2"/>
      <c r="G13" s="2"/>
      <c r="H13" s="16">
        <v>2499</v>
      </c>
      <c r="I13" s="16">
        <v>321999</v>
      </c>
      <c r="J13" s="13" t="s">
        <v>104</v>
      </c>
      <c r="K13" s="13" t="s">
        <v>105</v>
      </c>
      <c r="L13" s="15" t="s">
        <v>109</v>
      </c>
      <c r="M13" s="25" t="s">
        <v>191</v>
      </c>
      <c r="N13" s="2" t="s">
        <v>110</v>
      </c>
      <c r="O13" s="2" t="s">
        <v>111</v>
      </c>
      <c r="P13" s="1" t="s">
        <v>141</v>
      </c>
      <c r="Q13" s="17" t="s">
        <v>122</v>
      </c>
      <c r="R13" s="2"/>
      <c r="S13" s="2" t="s">
        <v>3</v>
      </c>
    </row>
    <row r="14" spans="1:19" x14ac:dyDescent="0.25">
      <c r="A14" s="2" t="s">
        <v>603</v>
      </c>
      <c r="B14" s="6">
        <v>1</v>
      </c>
      <c r="C14" s="2"/>
      <c r="D14" s="13"/>
      <c r="E14" s="2"/>
      <c r="F14" s="2"/>
      <c r="G14" s="2"/>
      <c r="H14" s="16">
        <v>2499</v>
      </c>
      <c r="I14" s="16">
        <v>321999</v>
      </c>
      <c r="J14" s="13" t="s">
        <v>104</v>
      </c>
      <c r="K14" s="13" t="s">
        <v>105</v>
      </c>
      <c r="L14" s="15" t="s">
        <v>109</v>
      </c>
      <c r="M14" s="25" t="s">
        <v>191</v>
      </c>
      <c r="N14" s="2" t="s">
        <v>110</v>
      </c>
      <c r="O14" s="2" t="s">
        <v>111</v>
      </c>
      <c r="P14" s="1" t="s">
        <v>141</v>
      </c>
      <c r="Q14" s="17" t="s">
        <v>122</v>
      </c>
      <c r="R14" s="2"/>
      <c r="S14" s="2" t="s">
        <v>3</v>
      </c>
    </row>
    <row r="15" spans="1:19" x14ac:dyDescent="0.25">
      <c r="A15" s="2" t="s">
        <v>576</v>
      </c>
      <c r="B15" s="6">
        <v>1</v>
      </c>
      <c r="C15" s="2"/>
      <c r="D15" s="13"/>
      <c r="E15" s="2"/>
      <c r="F15" s="2"/>
      <c r="G15" s="2"/>
      <c r="H15" s="16">
        <v>2499</v>
      </c>
      <c r="I15" s="16">
        <v>321999</v>
      </c>
      <c r="J15" s="13" t="s">
        <v>104</v>
      </c>
      <c r="K15" s="13" t="s">
        <v>105</v>
      </c>
      <c r="L15" s="15" t="s">
        <v>109</v>
      </c>
      <c r="M15" s="25" t="s">
        <v>191</v>
      </c>
      <c r="N15" s="2" t="s">
        <v>110</v>
      </c>
      <c r="O15" s="2" t="s">
        <v>111</v>
      </c>
      <c r="P15" s="1" t="s">
        <v>141</v>
      </c>
      <c r="Q15" s="17" t="s">
        <v>122</v>
      </c>
      <c r="R15" s="2"/>
      <c r="S15" s="2" t="s">
        <v>3</v>
      </c>
    </row>
    <row r="16" spans="1:19" x14ac:dyDescent="0.25">
      <c r="A16" s="2" t="s">
        <v>879</v>
      </c>
      <c r="B16" s="6">
        <v>1</v>
      </c>
      <c r="C16" s="2"/>
      <c r="D16" s="13"/>
      <c r="E16" s="2"/>
      <c r="F16" s="2"/>
      <c r="G16" s="2"/>
      <c r="H16" s="16">
        <v>2499</v>
      </c>
      <c r="I16" s="16">
        <v>321999</v>
      </c>
      <c r="J16" s="13" t="s">
        <v>104</v>
      </c>
      <c r="K16" s="13" t="s">
        <v>105</v>
      </c>
      <c r="L16" s="15" t="s">
        <v>109</v>
      </c>
      <c r="M16" s="25" t="s">
        <v>191</v>
      </c>
      <c r="N16" s="2" t="s">
        <v>110</v>
      </c>
      <c r="O16" s="2" t="s">
        <v>111</v>
      </c>
      <c r="P16" s="1" t="s">
        <v>141</v>
      </c>
      <c r="Q16" s="17" t="s">
        <v>122</v>
      </c>
      <c r="R16" s="2"/>
      <c r="S16" s="2" t="s">
        <v>3</v>
      </c>
    </row>
    <row r="17" spans="1:19" x14ac:dyDescent="0.25">
      <c r="A17" s="2" t="s">
        <v>1104</v>
      </c>
      <c r="B17" s="6">
        <v>1</v>
      </c>
      <c r="C17" s="2"/>
      <c r="D17" s="13"/>
      <c r="E17" s="2"/>
      <c r="F17" s="2"/>
      <c r="G17" s="2"/>
      <c r="H17" s="16">
        <v>2499</v>
      </c>
      <c r="I17" s="16">
        <v>321999</v>
      </c>
      <c r="J17" s="13" t="s">
        <v>104</v>
      </c>
      <c r="K17" s="13" t="s">
        <v>105</v>
      </c>
      <c r="L17" s="15" t="s">
        <v>109</v>
      </c>
      <c r="M17" s="25" t="s">
        <v>191</v>
      </c>
      <c r="N17" s="2" t="s">
        <v>110</v>
      </c>
      <c r="O17" s="2" t="s">
        <v>111</v>
      </c>
      <c r="P17" s="1" t="s">
        <v>141</v>
      </c>
      <c r="Q17" s="17" t="s">
        <v>122</v>
      </c>
      <c r="R17" s="2"/>
      <c r="S17" s="2" t="s">
        <v>3</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H15"/>
  <sheetViews>
    <sheetView zoomScale="85" zoomScaleNormal="85" workbookViewId="0">
      <selection activeCell="A16" sqref="A16"/>
    </sheetView>
  </sheetViews>
  <sheetFormatPr defaultRowHeight="15" x14ac:dyDescent="0.25"/>
  <cols>
    <col min="1" max="1" width="7.140625" style="1" bestFit="1" customWidth="1" collapsed="1"/>
    <col min="2" max="2" width="8.7109375" style="1" bestFit="1" customWidth="1" collapsed="1"/>
    <col min="3" max="4" width="15.42578125" style="1" bestFit="1" customWidth="1" collapsed="1"/>
    <col min="5" max="5" width="8.140625" style="1" bestFit="1" customWidth="1" collapsed="1"/>
    <col min="6" max="16384" width="9.140625" style="1" collapsed="1"/>
  </cols>
  <sheetData>
    <row r="1" spans="1:8" x14ac:dyDescent="0.25">
      <c r="A1" s="4" t="s">
        <v>0</v>
      </c>
      <c r="B1" s="5" t="s">
        <v>20</v>
      </c>
      <c r="C1" s="5" t="s">
        <v>54</v>
      </c>
      <c r="D1" s="5" t="s">
        <v>54</v>
      </c>
      <c r="E1" s="5" t="s">
        <v>52</v>
      </c>
      <c r="F1" s="3"/>
      <c r="G1" s="3"/>
      <c r="H1" s="3"/>
    </row>
    <row r="2" spans="1:8" x14ac:dyDescent="0.25">
      <c r="A2" s="2" t="s">
        <v>1</v>
      </c>
      <c r="B2" s="6">
        <v>1</v>
      </c>
      <c r="C2" s="2"/>
      <c r="D2" s="2"/>
      <c r="E2" s="2"/>
    </row>
    <row r="3" spans="1:8" x14ac:dyDescent="0.25">
      <c r="A3" s="2" t="s">
        <v>2</v>
      </c>
      <c r="B3" s="6">
        <v>1</v>
      </c>
      <c r="C3" s="2"/>
      <c r="D3" s="2"/>
      <c r="E3" s="2" t="s">
        <v>3</v>
      </c>
    </row>
    <row r="4" spans="1:8" x14ac:dyDescent="0.25">
      <c r="A4" s="2" t="s">
        <v>16</v>
      </c>
      <c r="B4" s="6">
        <v>1</v>
      </c>
      <c r="C4" s="2"/>
      <c r="D4" s="2"/>
      <c r="E4" s="2" t="s">
        <v>3</v>
      </c>
    </row>
    <row r="5" spans="1:8" x14ac:dyDescent="0.25">
      <c r="A5" s="2" t="s">
        <v>691</v>
      </c>
      <c r="B5" s="6">
        <v>1</v>
      </c>
      <c r="C5" s="2"/>
      <c r="D5" s="2"/>
      <c r="E5" s="2" t="s">
        <v>3</v>
      </c>
    </row>
    <row r="6" spans="1:8" x14ac:dyDescent="0.25">
      <c r="A6" s="2" t="s">
        <v>333</v>
      </c>
      <c r="B6" s="6">
        <v>1</v>
      </c>
      <c r="C6" s="2"/>
      <c r="D6" s="2"/>
      <c r="E6" s="2" t="s">
        <v>3</v>
      </c>
    </row>
    <row r="7" spans="1:8" x14ac:dyDescent="0.25">
      <c r="A7" s="2" t="s">
        <v>346</v>
      </c>
      <c r="B7" s="6">
        <v>1</v>
      </c>
      <c r="C7" s="2"/>
      <c r="D7" s="2"/>
      <c r="E7" s="2" t="s">
        <v>3</v>
      </c>
    </row>
    <row r="8" spans="1:8" x14ac:dyDescent="0.25">
      <c r="A8" s="2" t="s">
        <v>347</v>
      </c>
      <c r="B8" s="6">
        <v>1</v>
      </c>
      <c r="C8" s="2"/>
      <c r="D8" s="2"/>
      <c r="E8" s="2" t="s">
        <v>3</v>
      </c>
    </row>
    <row r="9" spans="1:8" x14ac:dyDescent="0.25">
      <c r="A9" s="2" t="s">
        <v>383</v>
      </c>
      <c r="B9" s="6">
        <v>1</v>
      </c>
      <c r="C9" s="2"/>
      <c r="D9" s="2"/>
      <c r="E9" s="2" t="s">
        <v>3</v>
      </c>
    </row>
    <row r="10" spans="1:8" x14ac:dyDescent="0.25">
      <c r="A10" s="2" t="s">
        <v>353</v>
      </c>
      <c r="B10" s="6">
        <v>1</v>
      </c>
      <c r="C10" s="2"/>
      <c r="D10" s="2"/>
      <c r="E10" s="2" t="s">
        <v>3</v>
      </c>
    </row>
    <row r="11" spans="1:8" x14ac:dyDescent="0.25">
      <c r="A11" s="2" t="s">
        <v>630</v>
      </c>
      <c r="B11" s="6">
        <v>1</v>
      </c>
      <c r="C11" s="2"/>
      <c r="D11" s="2"/>
      <c r="E11" s="2" t="s">
        <v>3</v>
      </c>
    </row>
    <row r="12" spans="1:8" x14ac:dyDescent="0.25">
      <c r="A12" s="2" t="s">
        <v>603</v>
      </c>
      <c r="B12" s="6">
        <v>1</v>
      </c>
      <c r="C12" s="2"/>
      <c r="D12" s="2"/>
      <c r="E12" s="2" t="s">
        <v>3</v>
      </c>
    </row>
    <row r="13" spans="1:8" x14ac:dyDescent="0.25">
      <c r="A13" s="2" t="s">
        <v>576</v>
      </c>
      <c r="B13" s="6">
        <v>1</v>
      </c>
      <c r="C13" s="2"/>
      <c r="D13" s="2"/>
      <c r="E13" s="2" t="s">
        <v>3</v>
      </c>
    </row>
    <row r="14" spans="1:8" x14ac:dyDescent="0.25">
      <c r="A14" s="2" t="s">
        <v>879</v>
      </c>
      <c r="B14" s="6">
        <v>1</v>
      </c>
      <c r="C14" s="2"/>
      <c r="D14" s="2"/>
      <c r="E14" s="2" t="s">
        <v>3</v>
      </c>
    </row>
    <row r="15" spans="1:8" x14ac:dyDescent="0.25">
      <c r="A15" s="2" t="s">
        <v>1104</v>
      </c>
      <c r="B15" s="6">
        <v>1</v>
      </c>
      <c r="C15" s="2"/>
      <c r="D15" s="2"/>
      <c r="E15" s="2" t="s">
        <v>3</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G15"/>
  <sheetViews>
    <sheetView zoomScale="85" zoomScaleNormal="85" workbookViewId="0">
      <selection activeCell="E19" sqref="E19"/>
    </sheetView>
  </sheetViews>
  <sheetFormatPr defaultRowHeight="15" x14ac:dyDescent="0.25"/>
  <cols>
    <col min="1" max="1" width="7.140625" style="1" bestFit="1" customWidth="1" collapsed="1"/>
    <col min="2" max="2" width="8.7109375" style="1" bestFit="1" customWidth="1" collapsed="1"/>
    <col min="3" max="3" width="37.140625" style="1" bestFit="1" customWidth="1" collapsed="1"/>
    <col min="4" max="4" width="11.85546875" style="1" bestFit="1" customWidth="1" collapsed="1"/>
    <col min="5" max="5" width="72.7109375" style="1" bestFit="1" customWidth="1" collapsed="1"/>
    <col min="6" max="6" width="15.7109375" style="1" bestFit="1" customWidth="1" collapsed="1"/>
    <col min="7" max="7" width="8.140625" style="1" bestFit="1" customWidth="1" collapsed="1"/>
    <col min="8" max="16384" width="9.140625" style="1" collapsed="1"/>
  </cols>
  <sheetData>
    <row r="1" spans="1:7" x14ac:dyDescent="0.25">
      <c r="A1" s="4" t="s">
        <v>0</v>
      </c>
      <c r="B1" s="5" t="s">
        <v>20</v>
      </c>
      <c r="C1" s="5" t="s">
        <v>112</v>
      </c>
      <c r="D1" s="5" t="s">
        <v>56</v>
      </c>
      <c r="E1" s="5" t="s">
        <v>659</v>
      </c>
      <c r="F1" s="5" t="s">
        <v>55</v>
      </c>
      <c r="G1" s="5" t="s">
        <v>52</v>
      </c>
    </row>
    <row r="2" spans="1:7" x14ac:dyDescent="0.25">
      <c r="A2" s="2" t="s">
        <v>1</v>
      </c>
      <c r="B2" s="6">
        <v>1</v>
      </c>
      <c r="C2" s="2"/>
      <c r="D2" s="2"/>
      <c r="E2" s="2"/>
      <c r="F2" s="2"/>
      <c r="G2" s="2"/>
    </row>
    <row r="3" spans="1:7" x14ac:dyDescent="0.25">
      <c r="A3" s="2" t="s">
        <v>2</v>
      </c>
      <c r="B3" s="6">
        <v>1</v>
      </c>
      <c r="C3" s="2" t="s">
        <v>113</v>
      </c>
      <c r="D3" s="2" t="s">
        <v>3</v>
      </c>
      <c r="E3" s="2" t="s">
        <v>202</v>
      </c>
      <c r="F3" s="2"/>
      <c r="G3" s="2" t="s">
        <v>3</v>
      </c>
    </row>
    <row r="4" spans="1:7" x14ac:dyDescent="0.25">
      <c r="A4" s="2" t="s">
        <v>16</v>
      </c>
      <c r="B4" s="6">
        <v>1</v>
      </c>
      <c r="C4" s="2" t="s">
        <v>113</v>
      </c>
      <c r="D4" s="2" t="s">
        <v>3</v>
      </c>
      <c r="E4" s="2" t="s">
        <v>202</v>
      </c>
      <c r="F4" s="2"/>
      <c r="G4" s="2" t="s">
        <v>3</v>
      </c>
    </row>
    <row r="5" spans="1:7" x14ac:dyDescent="0.25">
      <c r="A5" s="2" t="s">
        <v>691</v>
      </c>
      <c r="B5" s="6">
        <v>1</v>
      </c>
      <c r="C5" s="2" t="s">
        <v>113</v>
      </c>
      <c r="D5" s="2" t="s">
        <v>3</v>
      </c>
      <c r="E5" s="2" t="s">
        <v>694</v>
      </c>
      <c r="F5" s="2"/>
      <c r="G5" s="2" t="s">
        <v>3</v>
      </c>
    </row>
    <row r="6" spans="1:7" x14ac:dyDescent="0.25">
      <c r="A6" s="2" t="s">
        <v>333</v>
      </c>
      <c r="B6" s="6">
        <v>1</v>
      </c>
      <c r="C6" s="2" t="s">
        <v>113</v>
      </c>
      <c r="D6" s="2" t="s">
        <v>3</v>
      </c>
      <c r="E6" s="2" t="s">
        <v>202</v>
      </c>
      <c r="F6" s="2"/>
      <c r="G6" s="2" t="s">
        <v>3</v>
      </c>
    </row>
    <row r="7" spans="1:7" x14ac:dyDescent="0.25">
      <c r="A7" s="2" t="s">
        <v>346</v>
      </c>
      <c r="B7" s="6">
        <v>1</v>
      </c>
      <c r="C7" s="2" t="s">
        <v>113</v>
      </c>
      <c r="D7" s="2" t="s">
        <v>3</v>
      </c>
      <c r="E7" s="2" t="s">
        <v>202</v>
      </c>
      <c r="F7" s="2"/>
      <c r="G7" s="2" t="s">
        <v>3</v>
      </c>
    </row>
    <row r="8" spans="1:7" x14ac:dyDescent="0.25">
      <c r="A8" s="2" t="s">
        <v>347</v>
      </c>
      <c r="B8" s="6">
        <v>1</v>
      </c>
      <c r="C8" s="2" t="s">
        <v>113</v>
      </c>
      <c r="D8" s="2" t="s">
        <v>3</v>
      </c>
      <c r="E8" s="2" t="s">
        <v>202</v>
      </c>
      <c r="F8" s="2"/>
      <c r="G8" s="2" t="s">
        <v>3</v>
      </c>
    </row>
    <row r="9" spans="1:7" x14ac:dyDescent="0.25">
      <c r="A9" s="2" t="s">
        <v>383</v>
      </c>
      <c r="B9" s="6">
        <v>1</v>
      </c>
      <c r="C9" s="2" t="s">
        <v>113</v>
      </c>
      <c r="D9" s="2" t="s">
        <v>3</v>
      </c>
      <c r="E9" s="2" t="s">
        <v>202</v>
      </c>
      <c r="F9" s="2"/>
      <c r="G9" s="2" t="s">
        <v>3</v>
      </c>
    </row>
    <row r="10" spans="1:7" x14ac:dyDescent="0.25">
      <c r="A10" s="2" t="s">
        <v>353</v>
      </c>
      <c r="B10" s="6">
        <v>1</v>
      </c>
      <c r="C10" s="2" t="s">
        <v>113</v>
      </c>
      <c r="D10" s="2" t="s">
        <v>3</v>
      </c>
      <c r="E10" s="2" t="s">
        <v>202</v>
      </c>
      <c r="F10" s="2"/>
      <c r="G10" s="2" t="s">
        <v>3</v>
      </c>
    </row>
    <row r="11" spans="1:7" x14ac:dyDescent="0.25">
      <c r="A11" s="2" t="s">
        <v>630</v>
      </c>
      <c r="B11" s="6">
        <v>1</v>
      </c>
      <c r="C11" s="2" t="s">
        <v>113</v>
      </c>
      <c r="D11" s="2" t="s">
        <v>3</v>
      </c>
      <c r="E11" s="2" t="s">
        <v>202</v>
      </c>
      <c r="F11" s="2"/>
      <c r="G11" s="2" t="s">
        <v>3</v>
      </c>
    </row>
    <row r="12" spans="1:7" x14ac:dyDescent="0.25">
      <c r="A12" s="2" t="s">
        <v>603</v>
      </c>
      <c r="B12" s="6">
        <v>1</v>
      </c>
      <c r="C12" s="2" t="s">
        <v>113</v>
      </c>
      <c r="D12" s="2" t="s">
        <v>3</v>
      </c>
      <c r="E12" s="2" t="s">
        <v>202</v>
      </c>
      <c r="F12" s="2"/>
      <c r="G12" s="2" t="s">
        <v>3</v>
      </c>
    </row>
    <row r="13" spans="1:7" x14ac:dyDescent="0.25">
      <c r="A13" s="2" t="s">
        <v>576</v>
      </c>
      <c r="B13" s="6">
        <v>1</v>
      </c>
      <c r="C13" s="2" t="s">
        <v>113</v>
      </c>
      <c r="D13" s="2" t="s">
        <v>3</v>
      </c>
      <c r="E13" s="2" t="s">
        <v>202</v>
      </c>
      <c r="F13" s="2"/>
      <c r="G13" s="2" t="s">
        <v>3</v>
      </c>
    </row>
    <row r="14" spans="1:7" x14ac:dyDescent="0.25">
      <c r="A14" s="2" t="s">
        <v>879</v>
      </c>
      <c r="B14" s="6">
        <v>1</v>
      </c>
      <c r="C14" s="2" t="s">
        <v>113</v>
      </c>
      <c r="D14" s="2" t="s">
        <v>3</v>
      </c>
      <c r="E14" s="2" t="s">
        <v>202</v>
      </c>
      <c r="F14" s="2"/>
      <c r="G14" s="2" t="s">
        <v>3</v>
      </c>
    </row>
    <row r="15" spans="1:7" x14ac:dyDescent="0.25">
      <c r="A15" s="2" t="s">
        <v>1104</v>
      </c>
      <c r="B15" s="6">
        <v>1</v>
      </c>
      <c r="C15" s="2" t="s">
        <v>113</v>
      </c>
      <c r="D15" s="2" t="s">
        <v>3</v>
      </c>
      <c r="E15" s="2" t="s">
        <v>202</v>
      </c>
      <c r="F15" s="2"/>
      <c r="G15" s="2" t="s">
        <v>3</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D15"/>
  <sheetViews>
    <sheetView zoomScale="85" zoomScaleNormal="85" workbookViewId="0">
      <selection activeCell="A16" sqref="A16"/>
    </sheetView>
  </sheetViews>
  <sheetFormatPr defaultRowHeight="15" x14ac:dyDescent="0.25"/>
  <cols>
    <col min="1" max="1" width="7.140625" style="1" bestFit="1" customWidth="1" collapsed="1"/>
    <col min="2" max="2" width="8.7109375" style="1" bestFit="1" customWidth="1" collapsed="1"/>
    <col min="3" max="3" width="8.140625" style="1" bestFit="1" customWidth="1" collapsed="1"/>
    <col min="4" max="16384" width="9.140625" style="1" collapsed="1"/>
  </cols>
  <sheetData>
    <row r="1" spans="1:4" x14ac:dyDescent="0.25">
      <c r="A1" s="4" t="s">
        <v>0</v>
      </c>
      <c r="B1" s="5" t="s">
        <v>20</v>
      </c>
      <c r="C1" s="5" t="s">
        <v>52</v>
      </c>
      <c r="D1" s="3"/>
    </row>
    <row r="2" spans="1:4" x14ac:dyDescent="0.25">
      <c r="A2" s="2" t="s">
        <v>1</v>
      </c>
      <c r="B2" s="6">
        <v>1</v>
      </c>
      <c r="C2" s="2"/>
    </row>
    <row r="3" spans="1:4" x14ac:dyDescent="0.25">
      <c r="A3" s="2" t="s">
        <v>2</v>
      </c>
      <c r="B3" s="6">
        <v>1</v>
      </c>
      <c r="C3" s="2" t="s">
        <v>3</v>
      </c>
    </row>
    <row r="4" spans="1:4" x14ac:dyDescent="0.25">
      <c r="A4" s="2" t="s">
        <v>16</v>
      </c>
      <c r="B4" s="6">
        <v>1</v>
      </c>
      <c r="C4" s="2" t="s">
        <v>3</v>
      </c>
    </row>
    <row r="5" spans="1:4" x14ac:dyDescent="0.25">
      <c r="A5" s="2" t="s">
        <v>691</v>
      </c>
      <c r="B5" s="6">
        <v>1</v>
      </c>
      <c r="C5" s="2" t="s">
        <v>3</v>
      </c>
    </row>
    <row r="6" spans="1:4" x14ac:dyDescent="0.25">
      <c r="A6" s="2" t="s">
        <v>333</v>
      </c>
      <c r="B6" s="6">
        <v>1</v>
      </c>
      <c r="C6" s="2" t="s">
        <v>3</v>
      </c>
    </row>
    <row r="7" spans="1:4" x14ac:dyDescent="0.25">
      <c r="A7" s="2" t="s">
        <v>346</v>
      </c>
      <c r="B7" s="6">
        <v>1</v>
      </c>
      <c r="C7" s="2" t="s">
        <v>3</v>
      </c>
    </row>
    <row r="8" spans="1:4" x14ac:dyDescent="0.25">
      <c r="A8" s="2" t="s">
        <v>347</v>
      </c>
      <c r="B8" s="6">
        <v>1</v>
      </c>
      <c r="C8" s="2" t="s">
        <v>3</v>
      </c>
    </row>
    <row r="9" spans="1:4" x14ac:dyDescent="0.25">
      <c r="A9" s="2" t="s">
        <v>383</v>
      </c>
      <c r="B9" s="6">
        <v>1</v>
      </c>
      <c r="C9" s="2" t="s">
        <v>3</v>
      </c>
    </row>
    <row r="10" spans="1:4" x14ac:dyDescent="0.25">
      <c r="A10" s="2" t="s">
        <v>353</v>
      </c>
      <c r="B10" s="6">
        <v>1</v>
      </c>
      <c r="C10" s="2" t="s">
        <v>3</v>
      </c>
    </row>
    <row r="11" spans="1:4" x14ac:dyDescent="0.25">
      <c r="A11" s="2" t="s">
        <v>630</v>
      </c>
      <c r="B11" s="6">
        <v>1</v>
      </c>
      <c r="C11" s="2" t="s">
        <v>3</v>
      </c>
    </row>
    <row r="12" spans="1:4" x14ac:dyDescent="0.25">
      <c r="A12" s="2" t="s">
        <v>603</v>
      </c>
      <c r="B12" s="6">
        <v>1</v>
      </c>
      <c r="C12" s="2" t="s">
        <v>3</v>
      </c>
    </row>
    <row r="13" spans="1:4" x14ac:dyDescent="0.25">
      <c r="A13" s="2" t="s">
        <v>576</v>
      </c>
      <c r="B13" s="6">
        <v>1</v>
      </c>
      <c r="C13" s="2" t="s">
        <v>3</v>
      </c>
    </row>
    <row r="14" spans="1:4" x14ac:dyDescent="0.25">
      <c r="A14" s="2" t="s">
        <v>879</v>
      </c>
      <c r="B14" s="6">
        <v>1</v>
      </c>
      <c r="C14" s="2" t="s">
        <v>3</v>
      </c>
    </row>
    <row r="15" spans="1:4" x14ac:dyDescent="0.25">
      <c r="A15" s="2" t="s">
        <v>1104</v>
      </c>
      <c r="B15" s="6">
        <v>1</v>
      </c>
      <c r="C15" s="2" t="s">
        <v>3</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G15"/>
  <sheetViews>
    <sheetView zoomScale="85" zoomScaleNormal="85" workbookViewId="0">
      <selection activeCell="A16" sqref="A16"/>
    </sheetView>
  </sheetViews>
  <sheetFormatPr defaultRowHeight="15" x14ac:dyDescent="0.25"/>
  <cols>
    <col min="1" max="1" width="7.140625" style="1" bestFit="1" customWidth="1" collapsed="1"/>
    <col min="2" max="2" width="9.5703125" style="1" bestFit="1" customWidth="1" collapsed="1"/>
    <col min="3" max="3" width="10.28515625" style="1" bestFit="1" customWidth="1" collapsed="1"/>
    <col min="4" max="4" width="19.140625" style="1" bestFit="1" customWidth="1" collapsed="1"/>
    <col min="5" max="5" width="8.140625" style="1" bestFit="1" customWidth="1" collapsed="1"/>
    <col min="6" max="16384" width="9.140625" style="1" collapsed="1"/>
  </cols>
  <sheetData>
    <row r="1" spans="1:7" x14ac:dyDescent="0.25">
      <c r="A1" s="4" t="s">
        <v>0</v>
      </c>
      <c r="B1" s="5" t="s">
        <v>59</v>
      </c>
      <c r="C1" s="5" t="s">
        <v>58</v>
      </c>
      <c r="D1" s="5" t="s">
        <v>57</v>
      </c>
      <c r="E1" s="5" t="s">
        <v>52</v>
      </c>
      <c r="F1" s="3"/>
      <c r="G1" s="3"/>
    </row>
    <row r="2" spans="1:7" x14ac:dyDescent="0.25">
      <c r="A2" s="2" t="s">
        <v>1</v>
      </c>
      <c r="B2" s="6">
        <v>1</v>
      </c>
      <c r="C2" s="2"/>
      <c r="D2" s="2"/>
      <c r="E2" s="2"/>
    </row>
    <row r="3" spans="1:7" x14ac:dyDescent="0.25">
      <c r="A3" s="2" t="s">
        <v>2</v>
      </c>
      <c r="B3" s="6">
        <v>1</v>
      </c>
      <c r="C3" s="2"/>
      <c r="D3" s="2"/>
      <c r="E3" s="2" t="s">
        <v>3</v>
      </c>
    </row>
    <row r="4" spans="1:7" x14ac:dyDescent="0.25">
      <c r="A4" s="2" t="s">
        <v>16</v>
      </c>
      <c r="B4" s="6">
        <v>1</v>
      </c>
      <c r="C4" s="2"/>
      <c r="D4" s="2"/>
      <c r="E4" s="2" t="s">
        <v>3</v>
      </c>
    </row>
    <row r="5" spans="1:7" x14ac:dyDescent="0.25">
      <c r="A5" s="2" t="s">
        <v>691</v>
      </c>
      <c r="B5" s="6">
        <v>1</v>
      </c>
      <c r="C5" s="2"/>
      <c r="D5" s="2"/>
      <c r="E5" s="2" t="s">
        <v>3</v>
      </c>
    </row>
    <row r="6" spans="1:7" x14ac:dyDescent="0.25">
      <c r="A6" s="2" t="s">
        <v>333</v>
      </c>
      <c r="B6" s="6">
        <v>1</v>
      </c>
      <c r="C6" s="2"/>
      <c r="D6" s="2"/>
      <c r="E6" s="2" t="s">
        <v>3</v>
      </c>
    </row>
    <row r="7" spans="1:7" x14ac:dyDescent="0.25">
      <c r="A7" s="2" t="s">
        <v>346</v>
      </c>
      <c r="B7" s="6">
        <v>1</v>
      </c>
      <c r="C7" s="2"/>
      <c r="D7" s="2"/>
      <c r="E7" s="2" t="s">
        <v>3</v>
      </c>
    </row>
    <row r="8" spans="1:7" x14ac:dyDescent="0.25">
      <c r="A8" s="2" t="s">
        <v>347</v>
      </c>
      <c r="B8" s="6">
        <v>1</v>
      </c>
      <c r="C8" s="2"/>
      <c r="D8" s="2"/>
      <c r="E8" s="2" t="s">
        <v>3</v>
      </c>
    </row>
    <row r="9" spans="1:7" x14ac:dyDescent="0.25">
      <c r="A9" s="2" t="s">
        <v>383</v>
      </c>
      <c r="B9" s="6">
        <v>1</v>
      </c>
      <c r="C9" s="2"/>
      <c r="D9" s="2"/>
      <c r="E9" s="2" t="s">
        <v>3</v>
      </c>
    </row>
    <row r="10" spans="1:7" x14ac:dyDescent="0.25">
      <c r="A10" s="2" t="s">
        <v>353</v>
      </c>
      <c r="B10" s="6">
        <v>1</v>
      </c>
      <c r="C10" s="2"/>
      <c r="D10" s="2"/>
      <c r="E10" s="2" t="s">
        <v>3</v>
      </c>
    </row>
    <row r="11" spans="1:7" x14ac:dyDescent="0.25">
      <c r="A11" s="2" t="s">
        <v>630</v>
      </c>
      <c r="B11" s="6">
        <v>1</v>
      </c>
      <c r="C11" s="2"/>
      <c r="D11" s="2"/>
      <c r="E11" s="2" t="s">
        <v>3</v>
      </c>
    </row>
    <row r="12" spans="1:7" x14ac:dyDescent="0.25">
      <c r="A12" s="2" t="s">
        <v>603</v>
      </c>
      <c r="B12" s="6">
        <v>1</v>
      </c>
      <c r="C12" s="2"/>
      <c r="D12" s="2"/>
      <c r="E12" s="2" t="s">
        <v>3</v>
      </c>
    </row>
    <row r="13" spans="1:7" x14ac:dyDescent="0.25">
      <c r="A13" s="2" t="s">
        <v>576</v>
      </c>
      <c r="B13" s="6">
        <v>1</v>
      </c>
      <c r="C13" s="2"/>
      <c r="D13" s="2"/>
      <c r="E13" s="2" t="s">
        <v>3</v>
      </c>
    </row>
    <row r="14" spans="1:7" x14ac:dyDescent="0.25">
      <c r="A14" s="2" t="s">
        <v>879</v>
      </c>
      <c r="B14" s="6">
        <v>1</v>
      </c>
      <c r="C14" s="2"/>
      <c r="D14" s="2"/>
      <c r="E14" s="2" t="s">
        <v>3</v>
      </c>
    </row>
    <row r="15" spans="1:7" x14ac:dyDescent="0.25">
      <c r="A15" s="2" t="s">
        <v>1104</v>
      </c>
      <c r="B15" s="6">
        <v>1</v>
      </c>
      <c r="C15" s="2"/>
      <c r="D15" s="2"/>
      <c r="E15" s="2" t="s">
        <v>3</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I15"/>
  <sheetViews>
    <sheetView zoomScale="85" zoomScaleNormal="85" workbookViewId="0">
      <selection activeCell="A16" sqref="A16"/>
    </sheetView>
  </sheetViews>
  <sheetFormatPr defaultRowHeight="15" x14ac:dyDescent="0.25"/>
  <cols>
    <col min="1" max="1" width="7.140625" style="1" bestFit="1" customWidth="1" collapsed="1"/>
    <col min="2" max="2" width="8.7109375" style="1" bestFit="1" customWidth="1" collapsed="1"/>
    <col min="3" max="3" width="15" style="1" bestFit="1" customWidth="1" collapsed="1"/>
    <col min="4" max="5" width="12.7109375" style="1" customWidth="1" collapsed="1"/>
    <col min="6" max="6" width="11.7109375" style="1" bestFit="1" customWidth="1" collapsed="1"/>
    <col min="7" max="7" width="12.7109375" style="1" bestFit="1" customWidth="1" collapsed="1"/>
    <col min="8" max="16384" width="9.140625" style="1" collapsed="1"/>
  </cols>
  <sheetData>
    <row r="1" spans="1:9" x14ac:dyDescent="0.25">
      <c r="A1" s="4" t="s">
        <v>0</v>
      </c>
      <c r="B1" s="5" t="s">
        <v>20</v>
      </c>
      <c r="C1" s="5" t="s">
        <v>60</v>
      </c>
      <c r="D1" s="5" t="s">
        <v>123</v>
      </c>
      <c r="E1" s="5" t="s">
        <v>124</v>
      </c>
      <c r="F1" s="5" t="s">
        <v>114</v>
      </c>
      <c r="G1" s="5" t="s">
        <v>52</v>
      </c>
      <c r="H1" s="3"/>
      <c r="I1" s="3"/>
    </row>
    <row r="2" spans="1:9" x14ac:dyDescent="0.25">
      <c r="A2" s="2" t="s">
        <v>1</v>
      </c>
      <c r="B2" s="6">
        <v>1</v>
      </c>
      <c r="C2" s="2"/>
      <c r="D2" s="2"/>
      <c r="E2" s="2"/>
      <c r="F2" s="2"/>
      <c r="G2" s="2"/>
    </row>
    <row r="3" spans="1:9" x14ac:dyDescent="0.25">
      <c r="A3" s="2" t="s">
        <v>2</v>
      </c>
      <c r="B3" s="6">
        <v>1</v>
      </c>
      <c r="C3" s="2"/>
      <c r="D3" s="2" t="s">
        <v>3</v>
      </c>
      <c r="E3" s="13" t="s">
        <v>125</v>
      </c>
      <c r="F3" s="2"/>
      <c r="G3" s="2" t="s">
        <v>3</v>
      </c>
    </row>
    <row r="4" spans="1:9" x14ac:dyDescent="0.25">
      <c r="A4" s="2" t="s">
        <v>16</v>
      </c>
      <c r="B4" s="6">
        <v>1</v>
      </c>
      <c r="C4" s="2"/>
      <c r="D4" s="2" t="s">
        <v>3</v>
      </c>
      <c r="E4" s="13" t="s">
        <v>125</v>
      </c>
      <c r="F4" s="2"/>
      <c r="G4" s="2" t="s">
        <v>3</v>
      </c>
    </row>
    <row r="5" spans="1:9" x14ac:dyDescent="0.25">
      <c r="A5" s="2" t="s">
        <v>691</v>
      </c>
      <c r="B5" s="6">
        <v>1</v>
      </c>
      <c r="C5" s="2"/>
      <c r="D5" s="2" t="s">
        <v>3</v>
      </c>
      <c r="E5" s="13" t="s">
        <v>125</v>
      </c>
      <c r="F5" s="2"/>
      <c r="G5" s="2" t="s">
        <v>3</v>
      </c>
    </row>
    <row r="6" spans="1:9" x14ac:dyDescent="0.25">
      <c r="A6" s="2" t="s">
        <v>333</v>
      </c>
      <c r="B6" s="6">
        <v>1</v>
      </c>
      <c r="C6" s="2"/>
      <c r="D6" s="2" t="s">
        <v>3</v>
      </c>
      <c r="E6" s="13" t="s">
        <v>125</v>
      </c>
      <c r="F6" s="2"/>
      <c r="G6" s="2" t="s">
        <v>3</v>
      </c>
    </row>
    <row r="7" spans="1:9" x14ac:dyDescent="0.25">
      <c r="A7" s="2" t="s">
        <v>346</v>
      </c>
      <c r="B7" s="6">
        <v>1</v>
      </c>
      <c r="C7" s="2"/>
      <c r="D7" s="2" t="s">
        <v>3</v>
      </c>
      <c r="E7" s="13" t="s">
        <v>125</v>
      </c>
      <c r="F7" s="2"/>
      <c r="G7" s="2" t="s">
        <v>3</v>
      </c>
    </row>
    <row r="8" spans="1:9" x14ac:dyDescent="0.25">
      <c r="A8" s="2" t="s">
        <v>347</v>
      </c>
      <c r="B8" s="6">
        <v>1</v>
      </c>
      <c r="C8" s="2"/>
      <c r="D8" s="2" t="s">
        <v>3</v>
      </c>
      <c r="E8" s="13" t="s">
        <v>125</v>
      </c>
      <c r="F8" s="2"/>
      <c r="G8" s="2" t="s">
        <v>3</v>
      </c>
    </row>
    <row r="9" spans="1:9" x14ac:dyDescent="0.25">
      <c r="A9" s="2" t="s">
        <v>383</v>
      </c>
      <c r="B9" s="6">
        <v>1</v>
      </c>
      <c r="C9" s="2"/>
      <c r="D9" s="2" t="s">
        <v>3</v>
      </c>
      <c r="E9" s="13" t="s">
        <v>125</v>
      </c>
      <c r="F9" s="2"/>
      <c r="G9" s="2" t="s">
        <v>3</v>
      </c>
    </row>
    <row r="10" spans="1:9" x14ac:dyDescent="0.25">
      <c r="A10" s="2" t="s">
        <v>353</v>
      </c>
      <c r="B10" s="6">
        <v>1</v>
      </c>
      <c r="C10" s="2"/>
      <c r="D10" s="2" t="s">
        <v>3</v>
      </c>
      <c r="E10" s="13" t="s">
        <v>125</v>
      </c>
      <c r="F10" s="2"/>
      <c r="G10" s="2" t="s">
        <v>3</v>
      </c>
    </row>
    <row r="11" spans="1:9" x14ac:dyDescent="0.25">
      <c r="A11" s="2" t="s">
        <v>630</v>
      </c>
      <c r="B11" s="6">
        <v>1</v>
      </c>
      <c r="C11" s="2"/>
      <c r="D11" s="2" t="s">
        <v>3</v>
      </c>
      <c r="E11" s="13" t="s">
        <v>125</v>
      </c>
      <c r="F11" s="2"/>
      <c r="G11" s="2" t="s">
        <v>3</v>
      </c>
    </row>
    <row r="12" spans="1:9" x14ac:dyDescent="0.25">
      <c r="A12" s="2" t="s">
        <v>603</v>
      </c>
      <c r="B12" s="6">
        <v>1</v>
      </c>
      <c r="C12" s="2"/>
      <c r="D12" s="2" t="s">
        <v>3</v>
      </c>
      <c r="E12" s="13" t="s">
        <v>125</v>
      </c>
      <c r="F12" s="2"/>
      <c r="G12" s="2" t="s">
        <v>3</v>
      </c>
    </row>
    <row r="13" spans="1:9" x14ac:dyDescent="0.25">
      <c r="A13" s="2" t="s">
        <v>576</v>
      </c>
      <c r="B13" s="6">
        <v>1</v>
      </c>
      <c r="C13" s="2"/>
      <c r="D13" s="2" t="s">
        <v>3</v>
      </c>
      <c r="E13" s="13" t="s">
        <v>125</v>
      </c>
      <c r="F13" s="2"/>
      <c r="G13" s="2" t="s">
        <v>3</v>
      </c>
    </row>
    <row r="14" spans="1:9" x14ac:dyDescent="0.25">
      <c r="A14" s="2" t="s">
        <v>879</v>
      </c>
      <c r="B14" s="6">
        <v>1</v>
      </c>
      <c r="C14" s="2"/>
      <c r="D14" s="2" t="s">
        <v>3</v>
      </c>
      <c r="E14" s="13" t="s">
        <v>125</v>
      </c>
      <c r="F14" s="2"/>
      <c r="G14" s="2" t="s">
        <v>3</v>
      </c>
    </row>
    <row r="15" spans="1:9" x14ac:dyDescent="0.25">
      <c r="A15" s="2" t="s">
        <v>1104</v>
      </c>
      <c r="B15" s="6">
        <v>1</v>
      </c>
      <c r="C15" s="2"/>
      <c r="D15" s="2" t="s">
        <v>3</v>
      </c>
      <c r="E15" s="13" t="s">
        <v>125</v>
      </c>
      <c r="F15" s="2"/>
      <c r="G15" s="2" t="s">
        <v>3</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I15"/>
  <sheetViews>
    <sheetView zoomScale="85" zoomScaleNormal="85" workbookViewId="0">
      <selection activeCell="A16" sqref="A16"/>
    </sheetView>
  </sheetViews>
  <sheetFormatPr defaultRowHeight="15" x14ac:dyDescent="0.25"/>
  <cols>
    <col min="1" max="1" width="7.140625" style="1" bestFit="1" customWidth="1" collapsed="1"/>
    <col min="2" max="2" width="8.7109375" style="1" bestFit="1" customWidth="1" collapsed="1"/>
    <col min="3" max="3" width="11.85546875" style="1" bestFit="1" customWidth="1" collapsed="1"/>
    <col min="4" max="4" width="11.7109375" style="1" bestFit="1" customWidth="1" collapsed="1"/>
    <col min="5" max="5" width="14.140625" style="1" bestFit="1" customWidth="1" collapsed="1"/>
    <col min="6" max="6" width="13.85546875" style="1" bestFit="1" customWidth="1" collapsed="1"/>
    <col min="7" max="7" width="14.42578125" style="1" bestFit="1" customWidth="1" collapsed="1"/>
    <col min="8" max="8" width="10" style="1" bestFit="1" customWidth="1" collapsed="1"/>
    <col min="9" max="9" width="17" style="1" bestFit="1" customWidth="1" collapsed="1"/>
    <col min="10" max="10" width="9.140625" style="1" collapsed="1"/>
    <col min="11" max="11" width="14.42578125" style="1" bestFit="1" customWidth="1" collapsed="1"/>
    <col min="12" max="16384" width="9.140625" style="1" collapsed="1"/>
  </cols>
  <sheetData>
    <row r="1" spans="1:9" x14ac:dyDescent="0.25">
      <c r="A1" s="4" t="s">
        <v>0</v>
      </c>
      <c r="B1" s="5" t="s">
        <v>20</v>
      </c>
      <c r="C1" s="5" t="s">
        <v>126</v>
      </c>
      <c r="D1" s="5" t="s">
        <v>65</v>
      </c>
      <c r="E1" s="5" t="s">
        <v>64</v>
      </c>
      <c r="F1" s="5" t="s">
        <v>63</v>
      </c>
      <c r="G1" s="5" t="s">
        <v>62</v>
      </c>
      <c r="H1" s="5" t="s">
        <v>61</v>
      </c>
      <c r="I1" s="5" t="s">
        <v>86</v>
      </c>
    </row>
    <row r="2" spans="1:9" x14ac:dyDescent="0.25">
      <c r="A2" s="2" t="s">
        <v>1</v>
      </c>
      <c r="B2" s="6">
        <v>1</v>
      </c>
      <c r="C2" s="6"/>
      <c r="D2" s="2"/>
      <c r="E2" s="2"/>
      <c r="F2" s="2"/>
      <c r="G2" s="2"/>
      <c r="H2" s="2"/>
      <c r="I2" s="2"/>
    </row>
    <row r="3" spans="1:9" x14ac:dyDescent="0.25">
      <c r="A3" s="2" t="s">
        <v>2</v>
      </c>
      <c r="B3" s="6">
        <v>1</v>
      </c>
      <c r="C3" s="6" t="s">
        <v>3</v>
      </c>
      <c r="D3" s="2" t="s">
        <v>3</v>
      </c>
      <c r="E3" s="2"/>
      <c r="F3" s="2"/>
      <c r="G3" s="2"/>
      <c r="H3" s="2"/>
      <c r="I3" s="2" t="s">
        <v>3</v>
      </c>
    </row>
    <row r="4" spans="1:9" x14ac:dyDescent="0.25">
      <c r="A4" s="2" t="s">
        <v>16</v>
      </c>
      <c r="B4" s="6">
        <v>1</v>
      </c>
      <c r="C4" s="6" t="s">
        <v>3</v>
      </c>
      <c r="D4" s="2" t="s">
        <v>3</v>
      </c>
      <c r="E4" s="2"/>
      <c r="F4" s="2"/>
      <c r="G4" s="2"/>
      <c r="H4" s="2"/>
      <c r="I4" s="2" t="s">
        <v>3</v>
      </c>
    </row>
    <row r="5" spans="1:9" x14ac:dyDescent="0.25">
      <c r="A5" s="2" t="s">
        <v>691</v>
      </c>
      <c r="B5" s="6">
        <v>1</v>
      </c>
      <c r="C5" s="6" t="s">
        <v>3</v>
      </c>
      <c r="D5" s="2" t="s">
        <v>3</v>
      </c>
      <c r="E5" s="2"/>
      <c r="F5" s="2"/>
      <c r="G5" s="2"/>
      <c r="H5" s="2"/>
      <c r="I5" s="2" t="s">
        <v>3</v>
      </c>
    </row>
    <row r="6" spans="1:9" x14ac:dyDescent="0.25">
      <c r="A6" s="2" t="s">
        <v>333</v>
      </c>
      <c r="B6" s="6">
        <v>1</v>
      </c>
      <c r="C6" s="6" t="s">
        <v>3</v>
      </c>
      <c r="D6" s="2" t="s">
        <v>3</v>
      </c>
      <c r="E6" s="2"/>
      <c r="F6" s="2"/>
      <c r="G6" s="2"/>
      <c r="H6" s="2"/>
      <c r="I6" s="2" t="s">
        <v>3</v>
      </c>
    </row>
    <row r="7" spans="1:9" x14ac:dyDescent="0.25">
      <c r="A7" s="2" t="s">
        <v>346</v>
      </c>
      <c r="B7" s="6">
        <v>1</v>
      </c>
      <c r="C7" s="6" t="s">
        <v>3</v>
      </c>
      <c r="D7" s="2" t="s">
        <v>3</v>
      </c>
      <c r="E7" s="2"/>
      <c r="F7" s="2"/>
      <c r="G7" s="2"/>
      <c r="H7" s="2"/>
      <c r="I7" s="2" t="s">
        <v>3</v>
      </c>
    </row>
    <row r="8" spans="1:9" x14ac:dyDescent="0.25">
      <c r="A8" s="2" t="s">
        <v>347</v>
      </c>
      <c r="B8" s="6">
        <v>1</v>
      </c>
      <c r="C8" s="6" t="s">
        <v>3</v>
      </c>
      <c r="D8" s="2" t="s">
        <v>3</v>
      </c>
      <c r="E8" s="2"/>
      <c r="F8" s="2"/>
      <c r="G8" s="2"/>
      <c r="H8" s="2"/>
      <c r="I8" s="2" t="s">
        <v>3</v>
      </c>
    </row>
    <row r="9" spans="1:9" x14ac:dyDescent="0.25">
      <c r="A9" s="2" t="s">
        <v>383</v>
      </c>
      <c r="B9" s="6">
        <v>1</v>
      </c>
      <c r="C9" s="6" t="s">
        <v>3</v>
      </c>
      <c r="D9" s="2" t="s">
        <v>3</v>
      </c>
      <c r="E9" s="2"/>
      <c r="F9" s="2"/>
      <c r="G9" s="2"/>
      <c r="H9" s="2"/>
      <c r="I9" s="2" t="s">
        <v>3</v>
      </c>
    </row>
    <row r="10" spans="1:9" x14ac:dyDescent="0.25">
      <c r="A10" s="2" t="s">
        <v>353</v>
      </c>
      <c r="B10" s="6">
        <v>1</v>
      </c>
      <c r="C10" s="6" t="s">
        <v>3</v>
      </c>
      <c r="D10" s="2" t="s">
        <v>3</v>
      </c>
      <c r="E10" s="2"/>
      <c r="F10" s="2"/>
      <c r="G10" s="2"/>
      <c r="H10" s="2"/>
      <c r="I10" s="2" t="s">
        <v>3</v>
      </c>
    </row>
    <row r="11" spans="1:9" x14ac:dyDescent="0.25">
      <c r="A11" s="2" t="s">
        <v>630</v>
      </c>
      <c r="B11" s="6">
        <v>1</v>
      </c>
      <c r="C11" s="6" t="s">
        <v>3</v>
      </c>
      <c r="D11" s="2" t="s">
        <v>3</v>
      </c>
      <c r="E11" s="2"/>
      <c r="F11" s="2"/>
      <c r="G11" s="2"/>
      <c r="H11" s="2"/>
      <c r="I11" s="2" t="s">
        <v>3</v>
      </c>
    </row>
    <row r="12" spans="1:9" x14ac:dyDescent="0.25">
      <c r="A12" s="2" t="s">
        <v>603</v>
      </c>
      <c r="B12" s="6">
        <v>1</v>
      </c>
      <c r="C12" s="6" t="s">
        <v>3</v>
      </c>
      <c r="D12" s="2" t="s">
        <v>3</v>
      </c>
      <c r="E12" s="2"/>
      <c r="F12" s="2"/>
      <c r="G12" s="2"/>
      <c r="H12" s="2"/>
      <c r="I12" s="2" t="s">
        <v>3</v>
      </c>
    </row>
    <row r="13" spans="1:9" x14ac:dyDescent="0.25">
      <c r="A13" s="2" t="s">
        <v>576</v>
      </c>
      <c r="B13" s="6">
        <v>1</v>
      </c>
      <c r="C13" s="6" t="s">
        <v>3</v>
      </c>
      <c r="D13" s="2" t="s">
        <v>3</v>
      </c>
      <c r="E13" s="2"/>
      <c r="F13" s="2"/>
      <c r="G13" s="2"/>
      <c r="H13" s="2"/>
      <c r="I13" s="2" t="s">
        <v>3</v>
      </c>
    </row>
    <row r="14" spans="1:9" x14ac:dyDescent="0.25">
      <c r="A14" s="2" t="s">
        <v>879</v>
      </c>
      <c r="B14" s="6">
        <v>1</v>
      </c>
      <c r="C14" s="6" t="s">
        <v>3</v>
      </c>
      <c r="D14" s="2" t="s">
        <v>3</v>
      </c>
      <c r="E14" s="2"/>
      <c r="F14" s="2"/>
      <c r="G14" s="2"/>
      <c r="H14" s="2"/>
      <c r="I14" s="2" t="s">
        <v>3</v>
      </c>
    </row>
    <row r="15" spans="1:9" x14ac:dyDescent="0.25">
      <c r="A15" s="2" t="s">
        <v>1104</v>
      </c>
      <c r="B15" s="6">
        <v>1</v>
      </c>
      <c r="C15" s="6" t="s">
        <v>3</v>
      </c>
      <c r="D15" s="2" t="s">
        <v>3</v>
      </c>
      <c r="E15" s="2"/>
      <c r="F15" s="2"/>
      <c r="G15" s="2"/>
      <c r="H15" s="2"/>
      <c r="I15" s="2" t="s">
        <v>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15"/>
  <sheetViews>
    <sheetView tabSelected="1" topLeftCell="A3" zoomScale="85" zoomScaleNormal="85" workbookViewId="0">
      <selection activeCell="A2" sqref="A2"/>
    </sheetView>
  </sheetViews>
  <sheetFormatPr defaultRowHeight="15" x14ac:dyDescent="0.25"/>
  <cols>
    <col min="1" max="1" width="7.140625" style="14" bestFit="1" customWidth="1" collapsed="1"/>
    <col min="2" max="2" width="8.7109375" style="14" bestFit="1" customWidth="1" collapsed="1"/>
    <col min="3" max="3" width="16.140625" style="14" bestFit="1" customWidth="1" collapsed="1"/>
    <col min="4" max="4" width="16" style="14" bestFit="1" customWidth="1" collapsed="1"/>
    <col min="5" max="6" width="16" style="14" customWidth="1" collapsed="1"/>
    <col min="7" max="7" width="20.140625" style="14" bestFit="1" customWidth="1" collapsed="1"/>
    <col min="8" max="8" width="17.42578125" style="14" bestFit="1" customWidth="1" collapsed="1"/>
    <col min="9" max="9" width="17" style="14" bestFit="1" customWidth="1" collapsed="1"/>
    <col min="10" max="10" width="17" style="14" customWidth="1" collapsed="1"/>
    <col min="11" max="11" width="14.42578125" style="1" bestFit="1" customWidth="1" collapsed="1"/>
    <col min="12" max="12" width="14.42578125" style="1" customWidth="1" collapsed="1"/>
    <col min="13" max="13" width="16.7109375" style="14" bestFit="1" customWidth="1" collapsed="1"/>
    <col min="14" max="14" width="21.85546875" style="14" bestFit="1" customWidth="1" collapsed="1"/>
    <col min="15" max="15" width="13.7109375" style="14" bestFit="1" customWidth="1" collapsed="1"/>
    <col min="16" max="16" width="18.7109375" style="14" bestFit="1" customWidth="1" collapsed="1"/>
    <col min="17" max="16384" width="9.140625" style="14" collapsed="1"/>
  </cols>
  <sheetData>
    <row r="1" spans="1:16" x14ac:dyDescent="0.25">
      <c r="A1" s="4" t="s">
        <v>0</v>
      </c>
      <c r="B1" s="5" t="s">
        <v>20</v>
      </c>
      <c r="C1" s="5" t="s">
        <v>70</v>
      </c>
      <c r="D1" s="5" t="s">
        <v>69</v>
      </c>
      <c r="E1" s="5" t="s">
        <v>115</v>
      </c>
      <c r="F1" s="5" t="s">
        <v>117</v>
      </c>
      <c r="G1" s="5" t="s">
        <v>119</v>
      </c>
      <c r="H1" s="5" t="s">
        <v>68</v>
      </c>
      <c r="I1" s="5" t="s">
        <v>67</v>
      </c>
      <c r="J1" s="5" t="s">
        <v>1031</v>
      </c>
      <c r="K1" s="5" t="s">
        <v>62</v>
      </c>
      <c r="L1" s="5" t="s">
        <v>1054</v>
      </c>
      <c r="M1" s="5" t="s">
        <v>79</v>
      </c>
      <c r="N1" s="5" t="s">
        <v>88</v>
      </c>
      <c r="O1" s="5" t="s">
        <v>87</v>
      </c>
      <c r="P1" s="5" t="s">
        <v>89</v>
      </c>
    </row>
    <row r="2" spans="1:16" x14ac:dyDescent="0.25">
      <c r="A2" s="2" t="s">
        <v>1</v>
      </c>
      <c r="B2" s="6">
        <v>1</v>
      </c>
      <c r="C2"/>
      <c r="D2"/>
      <c r="E2"/>
      <c r="F2"/>
      <c r="G2"/>
      <c r="H2"/>
      <c r="I2"/>
      <c r="J2"/>
      <c r="K2"/>
      <c r="L2"/>
      <c r="M2"/>
      <c r="N2"/>
      <c r="O2"/>
      <c r="P2"/>
    </row>
    <row r="3" spans="1:16" x14ac:dyDescent="0.25">
      <c r="A3" s="2" t="s">
        <v>2</v>
      </c>
      <c r="B3" s="6">
        <v>1</v>
      </c>
      <c r="C3" s="2" t="s">
        <v>3</v>
      </c>
      <c r="D3" s="2" t="s">
        <v>66</v>
      </c>
      <c r="E3" s="2" t="s">
        <v>116</v>
      </c>
      <c r="F3" s="2">
        <v>1234567</v>
      </c>
      <c r="G3" s="12" t="s">
        <v>120</v>
      </c>
      <c r="H3"/>
      <c r="I3"/>
      <c r="J3" s="2" t="s">
        <v>1032</v>
      </c>
      <c r="K3" s="2" t="s">
        <v>3</v>
      </c>
      <c r="L3" s="2" t="s">
        <v>3</v>
      </c>
      <c r="M3" s="2" t="s">
        <v>3</v>
      </c>
      <c r="N3"/>
      <c r="O3" s="12" t="s">
        <v>1201</v>
      </c>
      <c r="P3"/>
    </row>
    <row r="4" spans="1:16" x14ac:dyDescent="0.25">
      <c r="A4" s="2" t="s">
        <v>16</v>
      </c>
      <c r="B4" s="6">
        <v>1</v>
      </c>
      <c r="C4" s="2" t="s">
        <v>3</v>
      </c>
      <c r="D4" s="2" t="s">
        <v>66</v>
      </c>
      <c r="E4" s="2" t="s">
        <v>116</v>
      </c>
      <c r="F4" s="2">
        <v>1234567</v>
      </c>
      <c r="G4" s="12" t="s">
        <v>120</v>
      </c>
      <c r="H4" s="2" t="s">
        <v>3</v>
      </c>
      <c r="I4" s="2" t="s">
        <v>3</v>
      </c>
      <c r="J4"/>
      <c r="K4" s="2" t="s">
        <v>3</v>
      </c>
      <c r="L4" s="2" t="s">
        <v>3</v>
      </c>
      <c r="M4" s="2" t="s">
        <v>3</v>
      </c>
      <c r="N4"/>
      <c r="O4" s="12" t="s">
        <v>1037</v>
      </c>
      <c r="P4"/>
    </row>
    <row r="5" spans="1:16" x14ac:dyDescent="0.25">
      <c r="A5" s="2" t="s">
        <v>691</v>
      </c>
      <c r="B5" s="6">
        <v>1</v>
      </c>
      <c r="C5" s="2" t="s">
        <v>3</v>
      </c>
      <c r="D5" s="2" t="s">
        <v>66</v>
      </c>
      <c r="E5" s="2" t="s">
        <v>116</v>
      </c>
      <c r="F5" s="2">
        <v>1234567</v>
      </c>
      <c r="G5" s="12" t="s">
        <v>120</v>
      </c>
      <c r="H5" s="2" t="s">
        <v>3</v>
      </c>
      <c r="I5" s="2" t="s">
        <v>3</v>
      </c>
      <c r="J5"/>
      <c r="K5" s="2" t="s">
        <v>3</v>
      </c>
      <c r="L5" s="2" t="s">
        <v>3</v>
      </c>
      <c r="M5" s="2" t="s">
        <v>3</v>
      </c>
      <c r="N5"/>
      <c r="O5" s="12" t="s">
        <v>738</v>
      </c>
      <c r="P5"/>
    </row>
    <row r="6" spans="1:16" x14ac:dyDescent="0.25">
      <c r="A6" s="2" t="s">
        <v>333</v>
      </c>
      <c r="B6" s="6">
        <v>1</v>
      </c>
      <c r="C6" s="2" t="s">
        <v>3</v>
      </c>
      <c r="D6" s="2" t="s">
        <v>66</v>
      </c>
      <c r="E6" s="2" t="s">
        <v>116</v>
      </c>
      <c r="F6" s="2">
        <v>1234567</v>
      </c>
      <c r="G6" s="12" t="s">
        <v>120</v>
      </c>
      <c r="H6" s="2" t="s">
        <v>3</v>
      </c>
      <c r="I6" s="2" t="s">
        <v>3</v>
      </c>
      <c r="J6"/>
      <c r="K6" s="2" t="s">
        <v>3</v>
      </c>
      <c r="L6" s="2" t="s">
        <v>3</v>
      </c>
      <c r="M6" s="2" t="s">
        <v>3</v>
      </c>
      <c r="N6"/>
      <c r="O6" s="12" t="s">
        <v>1152</v>
      </c>
      <c r="P6"/>
    </row>
    <row r="7" spans="1:16" x14ac:dyDescent="0.25">
      <c r="A7" s="2" t="s">
        <v>346</v>
      </c>
      <c r="B7" s="6">
        <v>1</v>
      </c>
      <c r="C7" s="2" t="s">
        <v>3</v>
      </c>
      <c r="D7" s="2" t="s">
        <v>66</v>
      </c>
      <c r="E7" s="2" t="s">
        <v>116</v>
      </c>
      <c r="F7" s="2">
        <v>1234567</v>
      </c>
      <c r="G7" s="12" t="s">
        <v>120</v>
      </c>
      <c r="H7" s="2" t="s">
        <v>3</v>
      </c>
      <c r="I7" s="2" t="s">
        <v>3</v>
      </c>
      <c r="J7"/>
      <c r="K7" s="2" t="s">
        <v>3</v>
      </c>
      <c r="L7" s="2" t="s">
        <v>3</v>
      </c>
      <c r="M7" s="2" t="s">
        <v>3</v>
      </c>
      <c r="N7"/>
      <c r="O7" s="12" t="s">
        <v>1165</v>
      </c>
      <c r="P7"/>
    </row>
    <row r="8" spans="1:16" x14ac:dyDescent="0.25">
      <c r="A8" s="2" t="s">
        <v>347</v>
      </c>
      <c r="B8" s="6">
        <v>1</v>
      </c>
      <c r="C8" s="2" t="s">
        <v>3</v>
      </c>
      <c r="D8" s="2" t="s">
        <v>66</v>
      </c>
      <c r="E8" s="2" t="s">
        <v>116</v>
      </c>
      <c r="F8" s="2">
        <v>1234567</v>
      </c>
      <c r="G8" s="12" t="s">
        <v>120</v>
      </c>
      <c r="H8" s="2" t="s">
        <v>3</v>
      </c>
      <c r="I8" s="2" t="s">
        <v>3</v>
      </c>
      <c r="J8"/>
      <c r="K8" s="2" t="s">
        <v>3</v>
      </c>
      <c r="L8" s="2" t="s">
        <v>3</v>
      </c>
      <c r="M8" s="2" t="s">
        <v>3</v>
      </c>
      <c r="N8"/>
      <c r="O8" s="12" t="s">
        <v>1167</v>
      </c>
      <c r="P8"/>
    </row>
    <row r="9" spans="1:16" x14ac:dyDescent="0.25">
      <c r="A9" s="2" t="s">
        <v>383</v>
      </c>
      <c r="B9" s="6">
        <v>1</v>
      </c>
      <c r="C9" s="2" t="s">
        <v>3</v>
      </c>
      <c r="D9" s="2" t="s">
        <v>66</v>
      </c>
      <c r="E9" s="2" t="s">
        <v>116</v>
      </c>
      <c r="F9" s="2">
        <v>1234567</v>
      </c>
      <c r="G9" s="12" t="s">
        <v>120</v>
      </c>
      <c r="H9" s="2" t="s">
        <v>3</v>
      </c>
      <c r="I9" s="2" t="s">
        <v>3</v>
      </c>
      <c r="J9"/>
      <c r="K9" s="2" t="s">
        <v>3</v>
      </c>
      <c r="L9" s="2" t="s">
        <v>3</v>
      </c>
      <c r="M9" s="2" t="s">
        <v>3</v>
      </c>
      <c r="N9"/>
      <c r="O9" s="12" t="s">
        <v>1168</v>
      </c>
      <c r="P9"/>
    </row>
    <row r="10" spans="1:16" x14ac:dyDescent="0.25">
      <c r="A10" s="2" t="s">
        <v>353</v>
      </c>
      <c r="B10" s="6">
        <v>1</v>
      </c>
      <c r="C10" s="2" t="s">
        <v>3</v>
      </c>
      <c r="D10" s="2" t="s">
        <v>66</v>
      </c>
      <c r="E10" s="2" t="s">
        <v>116</v>
      </c>
      <c r="F10" s="2">
        <v>1234567</v>
      </c>
      <c r="G10" s="12" t="s">
        <v>120</v>
      </c>
      <c r="H10" s="2" t="s">
        <v>3</v>
      </c>
      <c r="I10" s="2" t="s">
        <v>3</v>
      </c>
      <c r="J10"/>
      <c r="K10" s="2" t="s">
        <v>3</v>
      </c>
      <c r="L10" s="2" t="s">
        <v>3</v>
      </c>
      <c r="M10" s="2" t="s">
        <v>3</v>
      </c>
      <c r="N10"/>
      <c r="O10" s="12" t="s">
        <v>1170</v>
      </c>
      <c r="P10"/>
    </row>
    <row r="11" spans="1:16" x14ac:dyDescent="0.25">
      <c r="A11" s="2" t="s">
        <v>630</v>
      </c>
      <c r="B11" s="6">
        <v>1</v>
      </c>
      <c r="C11" s="2" t="s">
        <v>3</v>
      </c>
      <c r="D11" s="2" t="s">
        <v>66</v>
      </c>
      <c r="E11" s="2" t="s">
        <v>116</v>
      </c>
      <c r="F11" s="2">
        <v>1234567</v>
      </c>
      <c r="G11" s="12" t="s">
        <v>120</v>
      </c>
      <c r="H11" s="2" t="s">
        <v>3</v>
      </c>
      <c r="I11" s="2" t="s">
        <v>3</v>
      </c>
      <c r="J11"/>
      <c r="K11" s="2" t="s">
        <v>3</v>
      </c>
      <c r="L11" s="2" t="s">
        <v>3</v>
      </c>
      <c r="M11" s="2" t="s">
        <v>3</v>
      </c>
      <c r="N11"/>
      <c r="O11" s="12" t="s">
        <v>894</v>
      </c>
      <c r="P11"/>
    </row>
    <row r="12" spans="1:16" x14ac:dyDescent="0.25">
      <c r="A12" s="2" t="s">
        <v>603</v>
      </c>
      <c r="B12" s="6">
        <v>1</v>
      </c>
      <c r="C12" s="2" t="s">
        <v>3</v>
      </c>
      <c r="D12" s="2" t="s">
        <v>66</v>
      </c>
      <c r="E12" s="2" t="s">
        <v>116</v>
      </c>
      <c r="F12" s="2">
        <v>1234567</v>
      </c>
      <c r="G12" s="12" t="s">
        <v>120</v>
      </c>
      <c r="H12" s="2" t="s">
        <v>3</v>
      </c>
      <c r="I12" s="2" t="s">
        <v>3</v>
      </c>
      <c r="J12"/>
      <c r="K12" s="2" t="s">
        <v>3</v>
      </c>
      <c r="L12" s="2" t="s">
        <v>3</v>
      </c>
      <c r="M12" s="2" t="s">
        <v>3</v>
      </c>
      <c r="N12"/>
      <c r="O12" s="12" t="s">
        <v>1174</v>
      </c>
      <c r="P12"/>
    </row>
    <row r="13" spans="1:16" x14ac:dyDescent="0.25">
      <c r="A13" s="2" t="s">
        <v>576</v>
      </c>
      <c r="B13" s="6">
        <v>1</v>
      </c>
      <c r="C13" s="2" t="s">
        <v>3</v>
      </c>
      <c r="D13" s="2" t="s">
        <v>66</v>
      </c>
      <c r="E13" s="2" t="s">
        <v>116</v>
      </c>
      <c r="F13" s="2">
        <v>1234567</v>
      </c>
      <c r="G13" s="12" t="s">
        <v>120</v>
      </c>
      <c r="H13" s="2" t="s">
        <v>3</v>
      </c>
      <c r="I13" s="2" t="s">
        <v>3</v>
      </c>
      <c r="J13"/>
      <c r="K13" s="2" t="s">
        <v>3</v>
      </c>
      <c r="L13" s="2" t="s">
        <v>3</v>
      </c>
      <c r="M13" s="2" t="s">
        <v>3</v>
      </c>
      <c r="N13"/>
      <c r="O13"/>
      <c r="P13"/>
    </row>
    <row r="14" spans="1:16" x14ac:dyDescent="0.25">
      <c r="A14" s="2" t="s">
        <v>879</v>
      </c>
      <c r="B14" s="6">
        <v>1</v>
      </c>
      <c r="C14" s="2" t="s">
        <v>3</v>
      </c>
      <c r="D14" s="2" t="s">
        <v>66</v>
      </c>
      <c r="E14" s="2" t="s">
        <v>116</v>
      </c>
      <c r="F14" s="2">
        <v>1234567</v>
      </c>
      <c r="G14" s="12" t="s">
        <v>120</v>
      </c>
      <c r="H14" s="2" t="s">
        <v>3</v>
      </c>
      <c r="I14" s="2" t="s">
        <v>3</v>
      </c>
      <c r="J14"/>
      <c r="K14" s="2" t="s">
        <v>3</v>
      </c>
      <c r="L14" s="2" t="s">
        <v>3</v>
      </c>
      <c r="M14" s="2" t="s">
        <v>3</v>
      </c>
      <c r="N14"/>
      <c r="O14" s="12" t="s">
        <v>1184</v>
      </c>
      <c r="P14"/>
    </row>
    <row r="15" spans="1:16" x14ac:dyDescent="0.25">
      <c r="A15" s="2" t="s">
        <v>1104</v>
      </c>
      <c r="B15" s="6">
        <v>1</v>
      </c>
      <c r="C15" s="2" t="s">
        <v>3</v>
      </c>
      <c r="D15" s="2" t="s">
        <v>66</v>
      </c>
      <c r="E15" s="2" t="s">
        <v>116</v>
      </c>
      <c r="F15" s="2">
        <v>1234567</v>
      </c>
      <c r="G15" s="12" t="s">
        <v>120</v>
      </c>
      <c r="H15" s="2" t="s">
        <v>3</v>
      </c>
      <c r="I15" s="2" t="s">
        <v>3</v>
      </c>
      <c r="J15"/>
      <c r="K15" s="2" t="s">
        <v>3</v>
      </c>
      <c r="L15" s="2" t="s">
        <v>3</v>
      </c>
      <c r="M15" s="2" t="s">
        <v>3</v>
      </c>
      <c r="N15"/>
      <c r="O15" s="12" t="s">
        <v>1199</v>
      </c>
      <c r="P15"/>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H7"/>
  <sheetViews>
    <sheetView zoomScale="85" zoomScaleNormal="85" workbookViewId="0">
      <selection activeCell="C3" sqref="C3"/>
    </sheetView>
  </sheetViews>
  <sheetFormatPr defaultRowHeight="15" x14ac:dyDescent="0.25"/>
  <cols>
    <col min="1" max="1" width="7.140625" style="1" bestFit="1" customWidth="1" collapsed="1"/>
    <col min="2" max="2" width="8.7109375" style="1" bestFit="1" customWidth="1" collapsed="1"/>
    <col min="3" max="3" width="26.5703125" style="1" customWidth="1" collapsed="1"/>
    <col min="4" max="4" width="28.85546875" style="1" customWidth="1" collapsed="1"/>
    <col min="5" max="5" width="20.42578125" style="1" bestFit="1" customWidth="1" collapsed="1"/>
    <col min="6" max="6" width="14.7109375" style="1" bestFit="1" customWidth="1" collapsed="1"/>
    <col min="7" max="16384" width="9.140625" style="1" collapsed="1"/>
  </cols>
  <sheetData>
    <row r="1" spans="1:8" x14ac:dyDescent="0.25">
      <c r="A1" s="4" t="s">
        <v>0</v>
      </c>
      <c r="B1" s="5" t="s">
        <v>20</v>
      </c>
      <c r="C1" s="5" t="s">
        <v>784</v>
      </c>
      <c r="D1" s="5" t="s">
        <v>87</v>
      </c>
      <c r="E1" s="5" t="s">
        <v>430</v>
      </c>
      <c r="F1" s="5" t="s">
        <v>431</v>
      </c>
      <c r="G1" s="3"/>
      <c r="H1" s="3"/>
    </row>
    <row r="2" spans="1:8" x14ac:dyDescent="0.25">
      <c r="A2" s="4" t="s">
        <v>603</v>
      </c>
      <c r="B2" s="6">
        <v>1</v>
      </c>
      <c r="C2" s="36" t="s">
        <v>1039</v>
      </c>
      <c r="D2" t="s">
        <v>895</v>
      </c>
      <c r="E2"/>
      <c r="F2"/>
      <c r="G2"/>
      <c r="H2"/>
    </row>
    <row r="3" spans="1:8" x14ac:dyDescent="0.25">
      <c r="A3" s="2" t="s">
        <v>374</v>
      </c>
      <c r="B3" s="6">
        <v>1</v>
      </c>
      <c r="C3"/>
      <c r="D3"/>
      <c r="E3" s="2" t="s">
        <v>3</v>
      </c>
      <c r="F3" s="2" t="str">
        <f>D2</f>
        <v>46WECAA00LA</v>
      </c>
      <c r="G3"/>
      <c r="H3"/>
    </row>
    <row r="4" spans="1:8" x14ac:dyDescent="0.25">
      <c r="A4" s="2" t="s">
        <v>376</v>
      </c>
      <c r="B4" s="6">
        <v>1</v>
      </c>
      <c r="C4"/>
      <c r="D4"/>
      <c r="E4" s="2" t="s">
        <v>3</v>
      </c>
      <c r="F4" s="2" t="str">
        <f>D2</f>
        <v>46WECAA00LA</v>
      </c>
      <c r="G4"/>
      <c r="H4"/>
    </row>
    <row r="5" spans="1:8" x14ac:dyDescent="0.25">
      <c r="A5" s="2" t="s">
        <v>412</v>
      </c>
      <c r="B5" s="6">
        <v>1</v>
      </c>
      <c r="C5"/>
      <c r="D5"/>
      <c r="E5" s="2" t="s">
        <v>3</v>
      </c>
      <c r="F5" s="2" t="str">
        <f>D2</f>
        <v>46WECAA00LA</v>
      </c>
      <c r="G5"/>
      <c r="H5"/>
    </row>
    <row r="6" spans="1:8" x14ac:dyDescent="0.25">
      <c r="A6" s="2" t="s">
        <v>413</v>
      </c>
      <c r="B6" s="6">
        <v>1</v>
      </c>
      <c r="C6"/>
      <c r="D6"/>
      <c r="E6" s="2" t="s">
        <v>3</v>
      </c>
      <c r="F6" s="2" t="str">
        <f>D2</f>
        <v>46WECAA00LA</v>
      </c>
      <c r="G6"/>
      <c r="H6"/>
    </row>
    <row r="7" spans="1:8" x14ac:dyDescent="0.25">
      <c r="A7" s="2" t="s">
        <v>414</v>
      </c>
      <c r="B7" s="6">
        <v>1</v>
      </c>
      <c r="C7"/>
      <c r="D7"/>
      <c r="E7" s="2" t="s">
        <v>3</v>
      </c>
      <c r="F7" s="2" t="str">
        <f>D2</f>
        <v>46WECAA00LA</v>
      </c>
      <c r="G7"/>
      <c r="H7"/>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S9"/>
  <sheetViews>
    <sheetView zoomScale="85" zoomScaleNormal="85" workbookViewId="0">
      <selection activeCell="E21" sqref="E21"/>
    </sheetView>
  </sheetViews>
  <sheetFormatPr defaultRowHeight="15" x14ac:dyDescent="0.25"/>
  <cols>
    <col min="1" max="1" width="7.140625" style="1" bestFit="1" customWidth="1" collapsed="1"/>
    <col min="2" max="2" width="8.7109375" style="1" bestFit="1" customWidth="1" collapsed="1"/>
    <col min="3" max="3" width="22.28515625" style="1" bestFit="1" customWidth="1" collapsed="1"/>
    <col min="4" max="5" width="22.28515625" style="1" customWidth="1" collapsed="1"/>
    <col min="6" max="6" width="12.140625" style="1" bestFit="1" customWidth="1" collapsed="1"/>
    <col min="7" max="7" width="20.7109375" style="1" bestFit="1" customWidth="1" collapsed="1"/>
    <col min="8" max="8" width="19.7109375" style="1" bestFit="1" customWidth="1" collapsed="1"/>
    <col min="9" max="9" width="19.7109375" style="1" customWidth="1" collapsed="1"/>
    <col min="10" max="10" width="21.5703125" style="1" bestFit="1" customWidth="1" collapsed="1"/>
    <col min="11" max="11" width="23.85546875" style="1" bestFit="1" customWidth="1" collapsed="1"/>
    <col min="12" max="12" width="22.42578125" style="1" bestFit="1" customWidth="1" collapsed="1"/>
    <col min="13" max="14" width="22.42578125" style="1" customWidth="1" collapsed="1"/>
    <col min="15" max="15" width="24" style="1" bestFit="1" customWidth="1" collapsed="1"/>
    <col min="16" max="16" width="26.5703125" style="1" bestFit="1" customWidth="1" collapsed="1"/>
    <col min="17" max="17" width="26.85546875" style="1" bestFit="1" customWidth="1" collapsed="1"/>
    <col min="18" max="18" width="22.5703125" style="1" bestFit="1" customWidth="1" collapsed="1"/>
    <col min="19" max="19" width="44.85546875" style="1" bestFit="1" customWidth="1" collapsed="1"/>
    <col min="20" max="16384" width="9.140625" style="1" collapsed="1"/>
  </cols>
  <sheetData>
    <row r="1" spans="1:19" x14ac:dyDescent="0.25">
      <c r="A1" s="4" t="s">
        <v>0</v>
      </c>
      <c r="B1" s="5" t="s">
        <v>20</v>
      </c>
      <c r="C1" s="5" t="s">
        <v>432</v>
      </c>
      <c r="D1" s="5" t="s">
        <v>784</v>
      </c>
      <c r="E1" s="5" t="s">
        <v>48</v>
      </c>
      <c r="F1" s="5" t="s">
        <v>433</v>
      </c>
      <c r="G1" s="5" t="s">
        <v>434</v>
      </c>
      <c r="H1" s="5" t="s">
        <v>435</v>
      </c>
      <c r="I1" s="5" t="s">
        <v>436</v>
      </c>
      <c r="J1" s="18" t="s">
        <v>437</v>
      </c>
      <c r="K1" s="18" t="s">
        <v>438</v>
      </c>
      <c r="L1" s="18" t="s">
        <v>439</v>
      </c>
      <c r="M1" s="18" t="s">
        <v>889</v>
      </c>
      <c r="N1" s="18" t="s">
        <v>890</v>
      </c>
      <c r="O1" s="18" t="s">
        <v>440</v>
      </c>
      <c r="P1" s="18" t="s">
        <v>441</v>
      </c>
      <c r="Q1" s="18" t="s">
        <v>442</v>
      </c>
      <c r="R1" s="18" t="s">
        <v>443</v>
      </c>
      <c r="S1" s="18" t="s">
        <v>444</v>
      </c>
    </row>
    <row r="2" spans="1:19" x14ac:dyDescent="0.25">
      <c r="A2" s="2" t="s">
        <v>603</v>
      </c>
      <c r="B2" s="6">
        <v>1</v>
      </c>
      <c r="C2" s="36" t="s">
        <v>887</v>
      </c>
      <c r="D2" s="36" t="s">
        <v>888</v>
      </c>
      <c r="E2" s="36" t="s">
        <v>1173</v>
      </c>
      <c r="F2"/>
      <c r="G2"/>
      <c r="H2"/>
      <c r="I2"/>
      <c r="J2"/>
      <c r="K2"/>
      <c r="L2"/>
      <c r="M2"/>
      <c r="N2"/>
      <c r="O2"/>
      <c r="P2"/>
      <c r="Q2"/>
      <c r="R2"/>
      <c r="S2"/>
    </row>
    <row r="3" spans="1:19" x14ac:dyDescent="0.25">
      <c r="A3" s="2" t="s">
        <v>321</v>
      </c>
      <c r="B3" s="6">
        <v>1</v>
      </c>
      <c r="C3" s="6" t="s">
        <v>445</v>
      </c>
      <c r="D3"/>
      <c r="E3"/>
      <c r="F3" s="6" t="s">
        <v>3</v>
      </c>
      <c r="G3" s="6" t="s">
        <v>3</v>
      </c>
      <c r="H3" s="6" t="s">
        <v>3</v>
      </c>
      <c r="I3"/>
      <c r="J3" s="2" t="s">
        <v>457</v>
      </c>
      <c r="K3"/>
      <c r="L3"/>
      <c r="M3"/>
      <c r="N3"/>
      <c r="O3"/>
      <c r="P3"/>
      <c r="Q3"/>
      <c r="R3" s="2" t="s">
        <v>3</v>
      </c>
      <c r="S3" s="2" t="s">
        <v>485</v>
      </c>
    </row>
    <row r="4" spans="1:19" x14ac:dyDescent="0.25">
      <c r="A4" s="2" t="s">
        <v>321</v>
      </c>
      <c r="B4" s="6">
        <v>1</v>
      </c>
      <c r="C4" s="6" t="s">
        <v>446</v>
      </c>
      <c r="D4"/>
      <c r="E4"/>
      <c r="F4" s="6" t="s">
        <v>3</v>
      </c>
      <c r="G4" s="6" t="s">
        <v>3</v>
      </c>
      <c r="H4" s="6" t="s">
        <v>3</v>
      </c>
      <c r="I4"/>
      <c r="J4"/>
      <c r="K4" s="2" t="s">
        <v>606</v>
      </c>
      <c r="L4"/>
      <c r="M4"/>
      <c r="N4"/>
      <c r="O4"/>
      <c r="P4"/>
      <c r="Q4"/>
      <c r="R4" s="2" t="s">
        <v>3</v>
      </c>
      <c r="S4" s="2" t="s">
        <v>485</v>
      </c>
    </row>
    <row r="5" spans="1:19" x14ac:dyDescent="0.25">
      <c r="A5" s="2" t="s">
        <v>321</v>
      </c>
      <c r="B5" s="6">
        <v>1</v>
      </c>
      <c r="C5" s="6" t="s">
        <v>447</v>
      </c>
      <c r="D5"/>
      <c r="E5"/>
      <c r="F5" s="6" t="s">
        <v>3</v>
      </c>
      <c r="G5" s="6" t="s">
        <v>3</v>
      </c>
      <c r="H5" s="6" t="s">
        <v>3</v>
      </c>
      <c r="I5"/>
      <c r="J5"/>
      <c r="K5"/>
      <c r="L5" s="2" t="s">
        <v>328</v>
      </c>
      <c r="M5"/>
      <c r="N5"/>
      <c r="O5"/>
      <c r="P5"/>
      <c r="Q5"/>
      <c r="R5" s="2" t="s">
        <v>3</v>
      </c>
      <c r="S5" s="2" t="s">
        <v>485</v>
      </c>
    </row>
    <row r="6" spans="1:19" x14ac:dyDescent="0.25">
      <c r="A6" s="2" t="s">
        <v>321</v>
      </c>
      <c r="B6" s="6">
        <v>1</v>
      </c>
      <c r="C6" s="6" t="s">
        <v>448</v>
      </c>
      <c r="D6"/>
      <c r="E6"/>
      <c r="F6" s="6" t="s">
        <v>3</v>
      </c>
      <c r="G6" s="6" t="s">
        <v>3</v>
      </c>
      <c r="H6" s="6" t="s">
        <v>3</v>
      </c>
      <c r="I6"/>
      <c r="J6"/>
      <c r="K6"/>
      <c r="L6"/>
      <c r="M6" s="2" t="s">
        <v>3</v>
      </c>
      <c r="N6" s="2" t="s">
        <v>3</v>
      </c>
      <c r="O6"/>
      <c r="P6"/>
      <c r="Q6"/>
      <c r="R6" s="2" t="s">
        <v>3</v>
      </c>
      <c r="S6" s="2" t="s">
        <v>485</v>
      </c>
    </row>
    <row r="7" spans="1:19" x14ac:dyDescent="0.25">
      <c r="A7" s="2" t="s">
        <v>321</v>
      </c>
      <c r="B7" s="6">
        <v>1</v>
      </c>
      <c r="C7" s="6" t="s">
        <v>449</v>
      </c>
      <c r="D7"/>
      <c r="E7"/>
      <c r="F7" s="6" t="s">
        <v>3</v>
      </c>
      <c r="G7" s="6" t="s">
        <v>3</v>
      </c>
      <c r="H7" s="6" t="s">
        <v>3</v>
      </c>
      <c r="I7"/>
      <c r="J7"/>
      <c r="K7"/>
      <c r="L7"/>
      <c r="M7"/>
      <c r="N7"/>
      <c r="O7"/>
      <c r="P7"/>
      <c r="Q7" s="13" t="str">
        <f>("Account : "&amp;E2)</f>
        <v>Account : 147931220542358</v>
      </c>
      <c r="R7" s="2" t="s">
        <v>3</v>
      </c>
      <c r="S7" s="2" t="s">
        <v>485</v>
      </c>
    </row>
    <row r="8" spans="1:19" x14ac:dyDescent="0.25">
      <c r="A8" s="2" t="s">
        <v>321</v>
      </c>
      <c r="B8" s="6">
        <v>1</v>
      </c>
      <c r="C8" s="6" t="s">
        <v>450</v>
      </c>
      <c r="D8"/>
      <c r="E8"/>
      <c r="F8" s="6" t="s">
        <v>3</v>
      </c>
      <c r="G8" s="6" t="s">
        <v>3</v>
      </c>
      <c r="H8" s="6" t="s">
        <v>3</v>
      </c>
      <c r="I8"/>
      <c r="J8"/>
      <c r="K8"/>
      <c r="L8" s="2" t="s">
        <v>328</v>
      </c>
      <c r="M8"/>
      <c r="N8"/>
      <c r="O8"/>
      <c r="P8"/>
      <c r="Q8"/>
      <c r="R8" s="2" t="s">
        <v>3</v>
      </c>
      <c r="S8" s="2" t="s">
        <v>485</v>
      </c>
    </row>
    <row r="9" spans="1:19" x14ac:dyDescent="0.25">
      <c r="A9" s="2" t="s">
        <v>321</v>
      </c>
      <c r="B9" s="6">
        <v>1</v>
      </c>
      <c r="C9" s="6" t="s">
        <v>451</v>
      </c>
      <c r="D9"/>
      <c r="E9"/>
      <c r="F9" s="6" t="s">
        <v>3</v>
      </c>
      <c r="G9" s="6" t="s">
        <v>3</v>
      </c>
      <c r="H9"/>
      <c r="I9" s="6" t="s">
        <v>3</v>
      </c>
      <c r="J9"/>
      <c r="K9"/>
      <c r="L9" s="2" t="s">
        <v>328</v>
      </c>
      <c r="M9"/>
      <c r="N9"/>
      <c r="O9"/>
      <c r="P9"/>
      <c r="Q9"/>
      <c r="R9" s="2" t="s">
        <v>3</v>
      </c>
      <c r="S9" s="2" t="s">
        <v>485</v>
      </c>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I2"/>
  <sheetViews>
    <sheetView zoomScale="85" zoomScaleNormal="85" workbookViewId="0">
      <selection activeCell="A2" sqref="A2"/>
    </sheetView>
  </sheetViews>
  <sheetFormatPr defaultRowHeight="15" x14ac:dyDescent="0.25"/>
  <cols>
    <col min="1" max="1" width="4.140625" style="1" bestFit="1" customWidth="1" collapsed="1"/>
    <col min="2" max="2" width="8.7109375" style="1" bestFit="1" customWidth="1" collapsed="1"/>
    <col min="3" max="3" width="16.85546875" style="1" bestFit="1" customWidth="1" collapsed="1"/>
    <col min="4" max="4" width="12.42578125" style="1" bestFit="1" customWidth="1" collapsed="1"/>
    <col min="5" max="5" width="8" style="1" bestFit="1" customWidth="1" collapsed="1"/>
    <col min="6" max="6" width="14.5703125" style="1" bestFit="1" customWidth="1" collapsed="1"/>
    <col min="7" max="7" width="7.85546875" style="1" bestFit="1" customWidth="1" collapsed="1"/>
    <col min="8" max="8" width="21.85546875" style="1" bestFit="1" customWidth="1" collapsed="1"/>
    <col min="9" max="9" width="19.42578125" style="1" bestFit="1" customWidth="1" collapsed="1"/>
    <col min="10" max="16384" width="9.140625" style="1" collapsed="1"/>
  </cols>
  <sheetData>
    <row r="1" spans="1:9" x14ac:dyDescent="0.25">
      <c r="A1" s="4" t="s">
        <v>0</v>
      </c>
      <c r="B1" s="5" t="s">
        <v>20</v>
      </c>
      <c r="C1" s="5" t="s">
        <v>452</v>
      </c>
      <c r="D1" s="18" t="s">
        <v>453</v>
      </c>
      <c r="E1" s="18" t="s">
        <v>327</v>
      </c>
      <c r="F1" s="18" t="s">
        <v>454</v>
      </c>
      <c r="G1" s="18" t="s">
        <v>329</v>
      </c>
      <c r="H1" s="2" t="s">
        <v>455</v>
      </c>
      <c r="I1" s="2" t="s">
        <v>456</v>
      </c>
    </row>
    <row r="2" spans="1:9" x14ac:dyDescent="0.25">
      <c r="A2" s="2" t="s">
        <v>355</v>
      </c>
      <c r="B2" s="6">
        <v>1</v>
      </c>
      <c r="C2" s="6" t="s">
        <v>3</v>
      </c>
      <c r="D2" s="2" t="s">
        <v>3</v>
      </c>
      <c r="E2" s="2" t="s">
        <v>328</v>
      </c>
      <c r="F2" s="2" t="s">
        <v>457</v>
      </c>
      <c r="G2" s="2" t="s">
        <v>457</v>
      </c>
      <c r="H2" s="2" t="s">
        <v>3</v>
      </c>
      <c r="I2" s="2" t="s">
        <v>3</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H2"/>
  <sheetViews>
    <sheetView zoomScale="85" zoomScaleNormal="85" workbookViewId="0">
      <selection activeCell="A2" sqref="A2"/>
    </sheetView>
  </sheetViews>
  <sheetFormatPr defaultRowHeight="15" x14ac:dyDescent="0.25"/>
  <cols>
    <col min="1" max="1" width="5.140625" style="1" bestFit="1" customWidth="1" collapsed="1"/>
    <col min="2" max="2" width="8.7109375" style="1" bestFit="1" customWidth="1" collapsed="1"/>
    <col min="3" max="3" width="14.7109375" style="1" bestFit="1" customWidth="1" collapsed="1"/>
    <col min="4" max="4" width="13.85546875" style="1" bestFit="1" customWidth="1" collapsed="1"/>
    <col min="5" max="5" width="22.5703125" style="1" bestFit="1" customWidth="1" collapsed="1"/>
    <col min="6" max="6" width="39.42578125" style="1" bestFit="1" customWidth="1" collapsed="1"/>
    <col min="7" max="7" width="9.85546875" style="1" bestFit="1" customWidth="1" collapsed="1"/>
    <col min="8" max="8" width="24.42578125" style="1" bestFit="1" customWidth="1" collapsed="1"/>
    <col min="9" max="16384" width="9.140625" style="1" collapsed="1"/>
  </cols>
  <sheetData>
    <row r="1" spans="1:8" x14ac:dyDescent="0.25">
      <c r="A1" s="4" t="s">
        <v>0</v>
      </c>
      <c r="B1" s="5" t="s">
        <v>20</v>
      </c>
      <c r="C1" s="5" t="s">
        <v>433</v>
      </c>
      <c r="D1" s="18" t="s">
        <v>437</v>
      </c>
      <c r="E1" s="18" t="s">
        <v>443</v>
      </c>
      <c r="F1" s="18" t="s">
        <v>444</v>
      </c>
      <c r="G1" s="9" t="s">
        <v>458</v>
      </c>
      <c r="H1" s="9" t="s">
        <v>459</v>
      </c>
    </row>
    <row r="2" spans="1:8" x14ac:dyDescent="0.25">
      <c r="A2" s="2" t="s">
        <v>365</v>
      </c>
      <c r="B2" s="6">
        <v>1</v>
      </c>
      <c r="C2" s="6" t="s">
        <v>3</v>
      </c>
      <c r="D2" s="2" t="s">
        <v>607</v>
      </c>
      <c r="E2" s="2" t="s">
        <v>3</v>
      </c>
      <c r="F2" s="2" t="s">
        <v>608</v>
      </c>
      <c r="G2" s="2" t="s">
        <v>3</v>
      </c>
      <c r="H2" s="2" t="s">
        <v>3</v>
      </c>
    </row>
  </sheetData>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2"/>
  <sheetViews>
    <sheetView topLeftCell="D1" zoomScale="85" zoomScaleNormal="85" workbookViewId="0">
      <selection activeCell="A2" sqref="A2"/>
    </sheetView>
  </sheetViews>
  <sheetFormatPr defaultRowHeight="15" x14ac:dyDescent="0.25"/>
  <cols>
    <col min="1" max="1" width="5.140625" style="1" bestFit="1" customWidth="1" collapsed="1"/>
    <col min="2" max="2" width="8.7109375" style="1" bestFit="1" customWidth="1" collapsed="1"/>
    <col min="3" max="3" width="12.140625" style="1" bestFit="1" customWidth="1" collapsed="1"/>
    <col min="4" max="4" width="21.5703125" style="1" bestFit="1" customWidth="1" collapsed="1"/>
    <col min="5" max="5" width="22.5703125" style="1" bestFit="1" customWidth="1" collapsed="1"/>
    <col min="6" max="6" width="39.42578125" style="1" bestFit="1" customWidth="1" collapsed="1"/>
    <col min="7" max="7" width="19.140625" style="1" bestFit="1" customWidth="1" collapsed="1"/>
    <col min="8" max="8" width="21.85546875" style="1" bestFit="1" customWidth="1" collapsed="1"/>
    <col min="9" max="9" width="19" style="1" bestFit="1" customWidth="1" collapsed="1"/>
    <col min="10" max="10" width="21.7109375" style="1" bestFit="1" customWidth="1" collapsed="1"/>
    <col min="11" max="11" width="39.42578125" style="1" bestFit="1" customWidth="1" collapsed="1"/>
    <col min="12" max="16384" width="9.140625" style="1" collapsed="1"/>
  </cols>
  <sheetData>
    <row r="1" spans="1:11" x14ac:dyDescent="0.25">
      <c r="A1" s="9" t="s">
        <v>0</v>
      </c>
      <c r="B1" s="5" t="s">
        <v>20</v>
      </c>
      <c r="C1" s="5" t="s">
        <v>433</v>
      </c>
      <c r="D1" s="18" t="s">
        <v>437</v>
      </c>
      <c r="E1" s="18" t="s">
        <v>443</v>
      </c>
      <c r="F1" s="18" t="s">
        <v>609</v>
      </c>
      <c r="G1" s="9" t="s">
        <v>460</v>
      </c>
      <c r="H1" s="9" t="s">
        <v>461</v>
      </c>
      <c r="I1" s="9" t="s">
        <v>462</v>
      </c>
      <c r="J1" s="9" t="s">
        <v>463</v>
      </c>
      <c r="K1" s="18" t="s">
        <v>444</v>
      </c>
    </row>
    <row r="2" spans="1:11" x14ac:dyDescent="0.25">
      <c r="A2" s="2" t="s">
        <v>371</v>
      </c>
      <c r="B2" s="6">
        <v>1</v>
      </c>
      <c r="C2" s="6" t="s">
        <v>3</v>
      </c>
      <c r="D2" s="2" t="s">
        <v>457</v>
      </c>
      <c r="E2" s="2" t="s">
        <v>3</v>
      </c>
      <c r="F2" s="2"/>
      <c r="G2" s="2" t="s">
        <v>3</v>
      </c>
      <c r="H2" s="2" t="s">
        <v>607</v>
      </c>
      <c r="I2" s="2"/>
      <c r="J2" s="2" t="s">
        <v>3</v>
      </c>
      <c r="K2" s="2" t="s">
        <v>608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F2"/>
  <sheetViews>
    <sheetView zoomScale="85" zoomScaleNormal="85" workbookViewId="0">
      <selection activeCell="A2" sqref="A2"/>
    </sheetView>
  </sheetViews>
  <sheetFormatPr defaultRowHeight="15" x14ac:dyDescent="0.25"/>
  <cols>
    <col min="1" max="1" width="5.140625" style="1" bestFit="1" customWidth="1" collapsed="1"/>
    <col min="2" max="2" width="8.7109375" style="1" bestFit="1" customWidth="1" collapsed="1"/>
    <col min="3" max="3" width="14.7109375" style="1" bestFit="1" customWidth="1" collapsed="1"/>
    <col min="4" max="4" width="19.28515625" style="1" bestFit="1" customWidth="1" collapsed="1"/>
    <col min="5" max="5" width="20.5703125" style="1" bestFit="1" customWidth="1" collapsed="1"/>
    <col min="6" max="6" width="43" style="1" bestFit="1" customWidth="1" collapsed="1"/>
    <col min="7" max="16384" width="9.140625" style="1" collapsed="1"/>
  </cols>
  <sheetData>
    <row r="1" spans="1:6" x14ac:dyDescent="0.25">
      <c r="A1" s="4" t="s">
        <v>0</v>
      </c>
      <c r="B1" s="5" t="s">
        <v>20</v>
      </c>
      <c r="C1" s="5" t="s">
        <v>464</v>
      </c>
      <c r="D1" s="18" t="s">
        <v>465</v>
      </c>
      <c r="E1" s="18" t="s">
        <v>466</v>
      </c>
      <c r="F1" s="18" t="s">
        <v>444</v>
      </c>
    </row>
    <row r="2" spans="1:6" x14ac:dyDescent="0.25">
      <c r="A2" s="2" t="s">
        <v>374</v>
      </c>
      <c r="B2" s="6">
        <v>1</v>
      </c>
      <c r="C2" s="6" t="s">
        <v>3</v>
      </c>
      <c r="D2" s="2" t="s">
        <v>476</v>
      </c>
      <c r="E2" s="2" t="s">
        <v>3</v>
      </c>
      <c r="F2" s="2" t="s">
        <v>479</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J2"/>
  <sheetViews>
    <sheetView zoomScale="85" zoomScaleNormal="85" workbookViewId="0">
      <selection activeCell="A2" sqref="A2"/>
    </sheetView>
  </sheetViews>
  <sheetFormatPr defaultRowHeight="15" x14ac:dyDescent="0.25"/>
  <cols>
    <col min="1" max="1" width="5.140625" style="1" bestFit="1" customWidth="1" collapsed="1"/>
    <col min="2" max="2" width="8.7109375" style="1" bestFit="1" customWidth="1" collapsed="1"/>
    <col min="3" max="3" width="15" style="1" bestFit="1" customWidth="1" collapsed="1"/>
    <col min="4" max="4" width="18" style="1" bestFit="1" customWidth="1" collapsed="1"/>
    <col min="5" max="5" width="18.7109375" style="1" bestFit="1" customWidth="1" collapsed="1"/>
    <col min="6" max="6" width="25.5703125" style="1" bestFit="1" customWidth="1" collapsed="1"/>
    <col min="7" max="7" width="34.7109375" style="1" bestFit="1" customWidth="1" collapsed="1"/>
    <col min="8" max="8" width="18.7109375" style="1" bestFit="1" customWidth="1" collapsed="1"/>
    <col min="9" max="9" width="26.7109375" style="1" bestFit="1" customWidth="1" collapsed="1"/>
    <col min="10" max="10" width="27.28515625" style="1" bestFit="1" customWidth="1" collapsed="1"/>
    <col min="11" max="16384" width="9.140625" style="1" collapsed="1"/>
  </cols>
  <sheetData>
    <row r="1" spans="1:10" x14ac:dyDescent="0.25">
      <c r="A1" s="4" t="s">
        <v>0</v>
      </c>
      <c r="B1" s="5" t="s">
        <v>20</v>
      </c>
      <c r="C1" s="5" t="s">
        <v>467</v>
      </c>
      <c r="D1" s="18" t="s">
        <v>468</v>
      </c>
      <c r="E1" s="18" t="s">
        <v>469</v>
      </c>
      <c r="F1" s="18" t="s">
        <v>470</v>
      </c>
      <c r="G1" s="18" t="s">
        <v>471</v>
      </c>
      <c r="H1" s="18" t="s">
        <v>472</v>
      </c>
      <c r="I1" s="2" t="s">
        <v>473</v>
      </c>
      <c r="J1" s="2" t="s">
        <v>474</v>
      </c>
    </row>
    <row r="2" spans="1:10" x14ac:dyDescent="0.25">
      <c r="A2" s="2" t="s">
        <v>376</v>
      </c>
      <c r="B2" s="6">
        <v>1</v>
      </c>
      <c r="C2" s="6" t="s">
        <v>3</v>
      </c>
      <c r="D2" s="2" t="s">
        <v>3</v>
      </c>
      <c r="E2" s="2" t="s">
        <v>328</v>
      </c>
      <c r="F2" s="2" t="s">
        <v>475</v>
      </c>
      <c r="G2" s="2"/>
      <c r="H2" s="2" t="s">
        <v>476</v>
      </c>
      <c r="I2" s="2" t="s">
        <v>3</v>
      </c>
      <c r="J2" s="2" t="s">
        <v>3</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
  <sheetViews>
    <sheetView zoomScale="85" zoomScaleNormal="85" workbookViewId="0">
      <selection activeCell="H30" sqref="H30"/>
    </sheetView>
  </sheetViews>
  <sheetFormatPr defaultRowHeight="15" x14ac:dyDescent="0.25"/>
  <cols>
    <col min="1" max="1" width="5.140625" style="1" bestFit="1" customWidth="1" collapsed="1"/>
    <col min="2" max="2" width="8.7109375" style="1" bestFit="1" customWidth="1" collapsed="1"/>
    <col min="3" max="3" width="14.5703125" style="1" bestFit="1" customWidth="1" collapsed="1"/>
    <col min="4" max="4" width="19.28515625" style="1" bestFit="1" customWidth="1" collapsed="1"/>
    <col min="5" max="5" width="20.5703125" style="1" bestFit="1" customWidth="1" collapsed="1"/>
    <col min="6" max="6" width="44.85546875" style="1" bestFit="1" customWidth="1" collapsed="1"/>
    <col min="7" max="7" width="19.85546875" style="1" bestFit="1" customWidth="1" collapsed="1"/>
    <col min="8" max="8" width="22.5703125" style="1" bestFit="1" customWidth="1" collapsed="1"/>
    <col min="9" max="16384" width="9.140625" style="1" collapsed="1"/>
  </cols>
  <sheetData>
    <row r="1" spans="1:8" x14ac:dyDescent="0.25">
      <c r="A1" s="4" t="s">
        <v>0</v>
      </c>
      <c r="B1" s="5" t="s">
        <v>20</v>
      </c>
      <c r="C1" s="5" t="s">
        <v>464</v>
      </c>
      <c r="D1" s="18" t="s">
        <v>465</v>
      </c>
      <c r="E1" s="18" t="s">
        <v>466</v>
      </c>
      <c r="F1" s="18" t="s">
        <v>444</v>
      </c>
      <c r="G1" s="18" t="s">
        <v>477</v>
      </c>
      <c r="H1" s="2" t="s">
        <v>478</v>
      </c>
    </row>
    <row r="2" spans="1:8" x14ac:dyDescent="0.25">
      <c r="A2" s="2" t="s">
        <v>412</v>
      </c>
      <c r="B2" s="6">
        <v>1</v>
      </c>
      <c r="C2" s="6" t="s">
        <v>3</v>
      </c>
      <c r="D2" s="2" t="s">
        <v>476</v>
      </c>
      <c r="E2" s="2" t="s">
        <v>3</v>
      </c>
      <c r="F2" s="2" t="s">
        <v>479</v>
      </c>
      <c r="G2" s="2" t="s">
        <v>3</v>
      </c>
      <c r="H2" s="2" t="s">
        <v>3</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K3"/>
  <sheetViews>
    <sheetView zoomScale="85" zoomScaleNormal="85" workbookViewId="0">
      <selection activeCell="G11" sqref="G11"/>
    </sheetView>
  </sheetViews>
  <sheetFormatPr defaultRowHeight="15" x14ac:dyDescent="0.25"/>
  <cols>
    <col min="1" max="1" width="5.140625" style="1" bestFit="1" customWidth="1" collapsed="1"/>
    <col min="2" max="2" width="8.7109375" style="1" bestFit="1" customWidth="1" collapsed="1"/>
    <col min="3" max="3" width="19" style="1" bestFit="1" customWidth="1" collapsed="1"/>
    <col min="4" max="4" width="14.5703125" style="1" bestFit="1" customWidth="1" collapsed="1"/>
    <col min="5" max="5" width="19.28515625" style="1" bestFit="1" customWidth="1" collapsed="1"/>
    <col min="6" max="6" width="20.5703125" style="1" bestFit="1" customWidth="1" collapsed="1"/>
    <col min="7" max="7" width="43" style="1" bestFit="1" customWidth="1" collapsed="1"/>
    <col min="8" max="8" width="14.7109375" style="1" bestFit="1" customWidth="1" collapsed="1"/>
    <col min="9" max="9" width="24.85546875" style="1" bestFit="1" customWidth="1" collapsed="1"/>
    <col min="10" max="10" width="22.140625" style="1" bestFit="1" customWidth="1" collapsed="1"/>
    <col min="11" max="11" width="22.5703125" style="1" bestFit="1" customWidth="1" collapsed="1"/>
    <col min="12" max="16384" width="9.140625" style="1" collapsed="1"/>
  </cols>
  <sheetData>
    <row r="1" spans="1:11" x14ac:dyDescent="0.25">
      <c r="A1" s="9" t="s">
        <v>0</v>
      </c>
      <c r="B1" s="5" t="s">
        <v>20</v>
      </c>
      <c r="C1" s="5" t="s">
        <v>432</v>
      </c>
      <c r="D1" s="5" t="s">
        <v>464</v>
      </c>
      <c r="E1" s="23" t="s">
        <v>465</v>
      </c>
      <c r="F1" s="23" t="s">
        <v>466</v>
      </c>
      <c r="G1" s="23" t="s">
        <v>444</v>
      </c>
      <c r="H1" s="9" t="s">
        <v>480</v>
      </c>
      <c r="I1" s="9" t="s">
        <v>481</v>
      </c>
      <c r="J1" s="9" t="s">
        <v>482</v>
      </c>
      <c r="K1" s="9" t="s">
        <v>483</v>
      </c>
    </row>
    <row r="2" spans="1:11" x14ac:dyDescent="0.25">
      <c r="A2" s="2" t="s">
        <v>413</v>
      </c>
      <c r="B2" s="6">
        <v>1</v>
      </c>
      <c r="C2" s="6" t="s">
        <v>484</v>
      </c>
      <c r="D2" s="6" t="s">
        <v>3</v>
      </c>
      <c r="E2" s="2" t="s">
        <v>476</v>
      </c>
      <c r="F2" s="2" t="s">
        <v>3</v>
      </c>
      <c r="G2" s="2" t="s">
        <v>479</v>
      </c>
      <c r="H2" s="2" t="s">
        <v>3</v>
      </c>
      <c r="I2" s="2"/>
      <c r="J2" s="2"/>
      <c r="K2" s="2" t="s">
        <v>3</v>
      </c>
    </row>
    <row r="3" spans="1:11" x14ac:dyDescent="0.25">
      <c r="A3" s="2" t="s">
        <v>414</v>
      </c>
      <c r="B3" s="6">
        <v>1</v>
      </c>
      <c r="C3" s="6" t="s">
        <v>484</v>
      </c>
      <c r="D3" s="6" t="s">
        <v>3</v>
      </c>
      <c r="E3" s="2" t="s">
        <v>476</v>
      </c>
      <c r="F3" s="2" t="s">
        <v>3</v>
      </c>
      <c r="G3" s="2" t="s">
        <v>479</v>
      </c>
      <c r="H3" s="2" t="s">
        <v>3</v>
      </c>
      <c r="I3" s="2" t="s">
        <v>476</v>
      </c>
      <c r="J3" s="2" t="s">
        <v>476</v>
      </c>
      <c r="K3" s="2" t="s">
        <v>3</v>
      </c>
    </row>
  </sheetData>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E16"/>
  <sheetViews>
    <sheetView zoomScale="85" zoomScaleNormal="85" workbookViewId="0">
      <selection activeCell="I17" sqref="I17"/>
    </sheetView>
  </sheetViews>
  <sheetFormatPr defaultRowHeight="15" x14ac:dyDescent="0.25"/>
  <cols>
    <col min="1" max="1" width="6.140625" style="14" bestFit="1" customWidth="1" collapsed="1"/>
    <col min="2" max="2" width="8.7109375" style="14" bestFit="1" customWidth="1" collapsed="1"/>
    <col min="3" max="3" width="13.140625" style="14" bestFit="1" customWidth="1" collapsed="1"/>
    <col min="4" max="4" width="15.140625" style="14" bestFit="1" customWidth="1" collapsed="1"/>
    <col min="5" max="5" width="19.7109375" style="14" bestFit="1" customWidth="1" collapsed="1"/>
    <col min="6" max="16384" width="9.140625" style="14" collapsed="1"/>
  </cols>
  <sheetData>
    <row r="1" spans="1:5" x14ac:dyDescent="0.25">
      <c r="A1" s="4" t="s">
        <v>0</v>
      </c>
      <c r="B1" s="18" t="s">
        <v>20</v>
      </c>
      <c r="C1" s="5" t="s">
        <v>1051</v>
      </c>
      <c r="D1" s="5" t="s">
        <v>1052</v>
      </c>
      <c r="E1" s="5" t="s">
        <v>1053</v>
      </c>
    </row>
    <row r="2" spans="1:5" x14ac:dyDescent="0.25">
      <c r="A2" s="2" t="s">
        <v>1</v>
      </c>
      <c r="B2" s="2">
        <v>1</v>
      </c>
      <c r="C2" s="2"/>
      <c r="D2" s="2"/>
      <c r="E2" s="2"/>
    </row>
    <row r="3" spans="1:5" x14ac:dyDescent="0.25">
      <c r="A3" s="2" t="s">
        <v>2</v>
      </c>
      <c r="B3" s="2">
        <v>1</v>
      </c>
      <c r="C3" s="2" t="s">
        <v>3</v>
      </c>
      <c r="D3" s="2" t="s">
        <v>3</v>
      </c>
      <c r="E3" s="2" t="s">
        <v>3</v>
      </c>
    </row>
    <row r="4" spans="1:5" x14ac:dyDescent="0.25">
      <c r="A4" s="2" t="s">
        <v>16</v>
      </c>
      <c r="B4" s="2">
        <v>1</v>
      </c>
      <c r="C4" s="2"/>
      <c r="D4" s="2"/>
      <c r="E4" s="2"/>
    </row>
    <row r="5" spans="1:5" x14ac:dyDescent="0.25">
      <c r="A5" s="2" t="s">
        <v>691</v>
      </c>
      <c r="B5" s="2">
        <v>1</v>
      </c>
      <c r="C5" s="2"/>
      <c r="D5" s="2"/>
      <c r="E5" s="2"/>
    </row>
    <row r="16" spans="1:5" x14ac:dyDescent="0.25">
      <c r="E16" s="1"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isl xmlns:xsi="http://www.w3.org/2001/XMLSchema-instance" xmlns:xsd="http://www.w3.org/2001/XMLSchema" xmlns="http://www.boldonjames.com/2008/01/sie/internal/label" sislVersion="0" policy="246de94c-8867-47b0-926e-310c120d49ea" origin="userSelected">
  <element uid="id_classification_nonbusiness" value=""/>
</sisl>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mlkX2NsYXNzaWZpY2F0aW9uX25vbmJ1c2luZXNzIiB2YWx1ZT0iIiB4bWxucz0iaHR0cDovL3d3dy5ib2xkb25qYW1lcy5jb20vMjAwOC8wMS9zaWUvaW50ZXJuYWwvbGFiZWwiIC8+PC9zaXNsPjxVc2VyTmFtZT5BRDFcY3BnNzA0NjwvVXNlck5hbWU+PERhdGVUaW1lPjEwLzE5LzIwMTYgNjoyOTo0NCBQTTwvRGF0ZVRpbWU+PExhYmVsU3RyaW5nPlB1YmxpY2x5IEF2YWlsYWJsZTwvTGFiZWxTdHJpbmc+PC9pdGVtPjwvbGFiZWxIaXN0b3J5Pg==</Value>
</WrappedLabelHistory>
</file>

<file path=customXml/itemProps1.xml><?xml version="1.0" encoding="utf-8"?>
<ds:datastoreItem xmlns:ds="http://schemas.openxmlformats.org/officeDocument/2006/customXml" ds:itemID="{FCD9F7C0-F6EF-4E0F-BD41-9C6FD936E393}">
  <ds:schemaRefs>
    <ds:schemaRef ds:uri="http://www.w3.org/2001/XMLSchema"/>
    <ds:schemaRef ds:uri="http://www.boldonjames.com/2008/01/sie/internal/label"/>
  </ds:schemaRefs>
</ds:datastoreItem>
</file>

<file path=customXml/itemProps2.xml><?xml version="1.0" encoding="utf-8"?>
<ds:datastoreItem xmlns:ds="http://schemas.openxmlformats.org/officeDocument/2006/customXml" ds:itemID="{A59E824D-7D5A-4491-96A4-6E81F505E9E4}">
  <ds:schemaRefs>
    <ds:schemaRef ds:uri="http://www.w3.org/2001/XMLSchema"/>
    <ds:schemaRef ds:uri="http://www.boldonjames.com/2016/02/Classifier/internal/wrappedLabelHistor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54</vt:i4>
      </vt:variant>
    </vt:vector>
  </HeadingPairs>
  <TitlesOfParts>
    <vt:vector size="54" baseType="lpstr">
      <vt:lpstr>TestCase</vt:lpstr>
      <vt:lpstr>Login</vt:lpstr>
      <vt:lpstr>LogOut</vt:lpstr>
      <vt:lpstr>TestData</vt:lpstr>
      <vt:lpstr>EditAccount</vt:lpstr>
      <vt:lpstr>Contact</vt:lpstr>
      <vt:lpstr>SearchNewAccount</vt:lpstr>
      <vt:lpstr>CreateAccount</vt:lpstr>
      <vt:lpstr>SearchAccount</vt:lpstr>
      <vt:lpstr>SearchPolicy</vt:lpstr>
      <vt:lpstr>DriverInformation</vt:lpstr>
      <vt:lpstr>PolicySelection</vt:lpstr>
      <vt:lpstr>CommercialAuto</vt:lpstr>
      <vt:lpstr>ContactInformation</vt:lpstr>
      <vt:lpstr>WorkersCompensation</vt:lpstr>
      <vt:lpstr>AdditionalPolicy</vt:lpstr>
      <vt:lpstr>ProposalOptions</vt:lpstr>
      <vt:lpstr>CLAPolicyInfo</vt:lpstr>
      <vt:lpstr>CLAQuoteTransactions</vt:lpstr>
      <vt:lpstr>CLAQuotedForm</vt:lpstr>
      <vt:lpstr>CLAAMPBilling</vt:lpstr>
      <vt:lpstr>PolicyMove</vt:lpstr>
      <vt:lpstr>PolicyMoveVerification</vt:lpstr>
      <vt:lpstr>SearchActivites</vt:lpstr>
      <vt:lpstr>SearchTabAction</vt:lpstr>
      <vt:lpstr>AccountMerge</vt:lpstr>
      <vt:lpstr>AccountMergeVerification</vt:lpstr>
      <vt:lpstr>CreateActivity</vt:lpstr>
      <vt:lpstr>CreateAcitivityVerification</vt:lpstr>
      <vt:lpstr>ActivityPatternVerification</vt:lpstr>
      <vt:lpstr>ActivityPattern</vt:lpstr>
      <vt:lpstr>ManageActivity</vt:lpstr>
      <vt:lpstr>ManageAcitivityVerification</vt:lpstr>
      <vt:lpstr>AccountContact</vt:lpstr>
      <vt:lpstr>AccountContactVerification</vt:lpstr>
      <vt:lpstr>NewSubmission</vt:lpstr>
      <vt:lpstr>PolicyInfo</vt:lpstr>
      <vt:lpstr>Locations</vt:lpstr>
      <vt:lpstr>StateCoverage</vt:lpstr>
      <vt:lpstr>LineCoverage</vt:lpstr>
      <vt:lpstr>WCOptions</vt:lpstr>
      <vt:lpstr>RiskAnalysis</vt:lpstr>
      <vt:lpstr>PolicyReview</vt:lpstr>
      <vt:lpstr>Payment</vt:lpstr>
      <vt:lpstr>SearchPolicies</vt:lpstr>
      <vt:lpstr>SearchAccountNote</vt:lpstr>
      <vt:lpstr>CreateAccountNote</vt:lpstr>
      <vt:lpstr>DeleteAccountNote</vt:lpstr>
      <vt:lpstr>EditAccountNote</vt:lpstr>
      <vt:lpstr>SearchPolicyNote</vt:lpstr>
      <vt:lpstr>CreatePolicyNote</vt:lpstr>
      <vt:lpstr>DeletePolicyNote</vt:lpstr>
      <vt:lpstr>EditPolicyNote</vt:lpstr>
      <vt:lpstr>Output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NAVEENKRISHNA</dc:creator>
  <cp:keywords>#P^bl1c# </cp:keywords>
  <cp:lastModifiedBy>Manubolu, Krishna</cp:lastModifiedBy>
  <dcterms:created xsi:type="dcterms:W3CDTF">2014-06-21T06:06:09Z</dcterms:created>
  <dcterms:modified xsi:type="dcterms:W3CDTF">2016-12-19T20:22:00Z</dcterms:modified>
  <cp:category>Public</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3e7ec3b7-fc7d-423f-b56d-bd173fab9f9d</vt:lpwstr>
  </property>
  <property fmtid="{D5CDD505-2E9C-101B-9397-08002B2CF9AE}" pid="3" name="bjSaver">
    <vt:lpwstr>QM/C9f8k+/XZkFZo7aUtHwyVPMDNYNIC</vt:lpwstr>
  </property>
  <property fmtid="{D5CDD505-2E9C-101B-9397-08002B2CF9AE}" pid="4" name="bjLabelHistoryID">
    <vt:lpwstr>{A59E824D-7D5A-4491-96A4-6E81F505E9E4}</vt:lpwstr>
  </property>
  <property fmtid="{D5CDD505-2E9C-101B-9397-08002B2CF9AE}" pid="5" name="bjDocumentSecurityLabel">
    <vt:lpwstr>Publicly Available</vt:lpwstr>
  </property>
  <property fmtid="{D5CDD505-2E9C-101B-9397-08002B2CF9AE}" pid="6"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7" name="bjDocumentLabelXML-0">
    <vt:lpwstr>ames.com/2008/01/sie/internal/label"&gt;&lt;element uid="id_classification_nonbusiness" value="" /&gt;&lt;/sisl&gt;</vt:lpwstr>
  </property>
</Properties>
</file>